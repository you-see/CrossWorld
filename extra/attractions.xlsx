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C\Downloads\"/>
    </mc:Choice>
  </mc:AlternateContent>
  <xr:revisionPtr revIDLastSave="0" documentId="13_ncr:1_{94586C8B-88BD-460D-A149-FB8F6AAFF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97" i="1" l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<sst xmlns="http://schemas.openxmlformats.org/spreadsheetml/2006/main" count="399" uniqueCount="399">
  <si>
    <t>ISO3</t>
  </si>
  <si>
    <t>Country</t>
  </si>
  <si>
    <t>Attraction 1</t>
  </si>
  <si>
    <t>Attraction 2</t>
  </si>
  <si>
    <t>Attraction 3</t>
  </si>
  <si>
    <t>Attraction 4</t>
  </si>
  <si>
    <t>Attraction 5</t>
  </si>
  <si>
    <t>AFG</t>
  </si>
  <si>
    <t>ALB</t>
  </si>
  <si>
    <t>DZA</t>
  </si>
  <si>
    <t>AND</t>
  </si>
  <si>
    <t>AGO</t>
  </si>
  <si>
    <t>ATG</t>
  </si>
  <si>
    <t>ARG</t>
  </si>
  <si>
    <t>ARM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</si>
  <si>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</si>
  <si>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</si>
  <si>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</si>
  <si>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</si>
  <si>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</si>
  <si>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</si>
  <si>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</si>
  <si>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</si>
  <si>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</si>
  <si>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</si>
  <si>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</si>
  <si>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</si>
  <si>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</si>
  <si>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</si>
  <si>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</si>
  <si>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</si>
  <si>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</si>
  <si>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</si>
  <si>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</si>
  <si>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</si>
  <si>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</si>
  <si>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</si>
  <si>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</si>
  <si>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</si>
  <si>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</si>
  <si>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</si>
  <si>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</si>
  <si>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</si>
  <si>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</si>
  <si>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</si>
  <si>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COG</t>
  </si>
  <si>
    <t>COD</t>
  </si>
  <si>
    <t>CRI</t>
  </si>
  <si>
    <t>HRV</t>
  </si>
  <si>
    <t>CUB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</si>
  <si>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</si>
  <si>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</si>
  <si>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</si>
  <si>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</si>
  <si>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</si>
  <si>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</si>
  <si>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</si>
  <si>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</si>
  <si>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</si>
  <si>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</si>
  <si>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</si>
  <si>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</si>
  <si>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</si>
  <si>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</si>
  <si>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</si>
  <si>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</si>
  <si>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</si>
  <si>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</si>
  <si>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</si>
  <si>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</si>
  <si>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</si>
  <si>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</si>
  <si>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</si>
  <si>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</si>
  <si>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</si>
  <si>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</si>
  <si>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</si>
  <si>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</si>
  <si>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</si>
  <si>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</si>
  <si>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</si>
  <si>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</si>
  <si>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</si>
  <si>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</si>
  <si>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</si>
  <si>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</si>
  <si>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</si>
  <si>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</si>
  <si>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</si>
  <si>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CIV</t>
  </si>
  <si>
    <t>JAM</t>
  </si>
  <si>
    <t>JPN</t>
  </si>
  <si>
    <t>JOR</t>
  </si>
  <si>
    <t>KAZ</t>
  </si>
  <si>
    <t>KEN</t>
  </si>
  <si>
    <t>KIR</t>
  </si>
  <si>
    <t>KWT</t>
  </si>
  <si>
    <t>KGZ</t>
  </si>
  <si>
    <t>LAO</t>
  </si>
  <si>
    <t>LVA</t>
  </si>
  <si>
    <t>LBN</t>
  </si>
  <si>
    <t>LSO</t>
  </si>
  <si>
    <t>LBR</t>
  </si>
  <si>
    <t>LBY</t>
  </si>
  <si>
    <t>LIE</t>
  </si>
  <si>
    <t>LTU</t>
  </si>
  <si>
    <t>LUX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</si>
  <si>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</si>
  <si>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</si>
  <si>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</si>
  <si>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</si>
  <si>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</si>
  <si>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</si>
  <si>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</si>
  <si>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</si>
  <si>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</si>
  <si>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</si>
  <si>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</si>
  <si>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</si>
  <si>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</si>
  <si>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</si>
  <si>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</si>
  <si>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</si>
  <si>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</si>
  <si>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</si>
  <si>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</si>
  <si>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</si>
  <si>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</si>
  <si>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</si>
  <si>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</si>
  <si>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</si>
  <si>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</si>
  <si>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</si>
  <si>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PRK</t>
  </si>
  <si>
    <t>MKD</t>
  </si>
  <si>
    <t>NOR</t>
  </si>
  <si>
    <t>OMN</t>
  </si>
  <si>
    <t>PAK</t>
  </si>
  <si>
    <t>PLW</t>
  </si>
  <si>
    <t>PSE</t>
  </si>
  <si>
    <t>PAN</t>
  </si>
  <si>
    <t>PNG</t>
  </si>
  <si>
    <t>PRY</t>
  </si>
  <si>
    <t>PER</t>
  </si>
  <si>
    <t>PHL</t>
  </si>
  <si>
    <t>POL</t>
  </si>
  <si>
    <t>PRT</t>
  </si>
  <si>
    <t>QAT</t>
  </si>
  <si>
    <t>ROU</t>
  </si>
  <si>
    <t>RUS</t>
  </si>
  <si>
    <t>RWA</t>
  </si>
  <si>
    <t>KNA</t>
  </si>
  <si>
    <t>LCA</t>
  </si>
  <si>
    <t>VCT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</si>
  <si>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</si>
  <si>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</si>
  <si>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</si>
  <si>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</si>
  <si>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</si>
  <si>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</si>
  <si>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</si>
  <si>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</si>
  <si>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</si>
  <si>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</si>
  <si>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</si>
  <si>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</si>
  <si>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</si>
  <si>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</si>
  <si>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KOR</t>
  </si>
  <si>
    <t>SSD</t>
  </si>
  <si>
    <t>ESP</t>
  </si>
  <si>
    <t>LKA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</si>
  <si>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</si>
  <si>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</si>
  <si>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</si>
  <si>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</si>
  <si>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</si>
  <si>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</si>
  <si>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</si>
  <si>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</si>
  <si>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</si>
  <si>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</si>
  <si>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</si>
  <si>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</si>
  <si>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</si>
  <si>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</si>
  <si>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</si>
  <si>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</si>
  <si>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</si>
  <si>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</si>
  <si>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</si>
  <si>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</si>
  <si>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</si>
  <si>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</si>
  <si>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</si>
  <si>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</si>
  <si>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</si>
  <si>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VAT</t>
  </si>
  <si>
    <t>VEN</t>
  </si>
  <si>
    <t>VNM</t>
  </si>
  <si>
    <t>YEM</t>
  </si>
  <si>
    <t>ZMB</t>
  </si>
  <si>
    <t>ZWE</t>
  </si>
  <si>
    <t>Afghanistan</t>
  </si>
  <si>
    <t>Albania</t>
  </si>
  <si>
    <t>Algeria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</si>
  <si>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</si>
  <si>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</si>
  <si>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</si>
  <si>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</si>
  <si>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</si>
  <si>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</si>
  <si>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</si>
  <si>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</si>
  <si>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</si>
  <si>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</si>
  <si>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</si>
  <si>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</si>
  <si>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</si>
  <si>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</si>
  <si>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</si>
  <si>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</si>
  <si>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</si>
  <si>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</si>
  <si>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</si>
  <si>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</si>
  <si>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</si>
  <si>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</si>
  <si>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</si>
  <si>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</si>
  <si>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</si>
  <si>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</si>
  <si>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</si>
  <si>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</si>
  <si>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</si>
  <si>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</si>
  <si>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</si>
  <si>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</si>
  <si>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</si>
  <si>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</si>
  <si>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</si>
  <si>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 (Congo-Brazzaville)</t>
  </si>
  <si>
    <t>Democratic Republic of the Congo</t>
  </si>
  <si>
    <t>Costa Rica</t>
  </si>
  <si>
    <t>Croatia</t>
  </si>
  <si>
    <t>Cuba</t>
  </si>
  <si>
    <t>Cyprus</t>
  </si>
  <si>
    <t>Czechia (Czech Republic)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</si>
  <si>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</si>
  <si>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</si>
  <si>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</si>
  <si>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</si>
  <si>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</si>
  <si>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</si>
  <si>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</si>
  <si>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</si>
  <si>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</si>
  <si>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</si>
  <si>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(Swaziland)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</si>
  <si>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</si>
  <si>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</si>
  <si>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</si>
  <si>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</si>
  <si>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</si>
  <si>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</si>
  <si>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</si>
  <si>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</si>
  <si>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</si>
  <si>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</si>
  <si>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</si>
  <si>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</si>
  <si>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</si>
  <si>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</si>
  <si>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</si>
  <si>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</si>
  <si>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</si>
  <si>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</si>
  <si>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</si>
  <si>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</si>
  <si>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</si>
  <si>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</si>
  <si>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</si>
  <si>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</si>
  <si>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</si>
  <si>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</si>
  <si>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Ivory Coast (Côte d'Ivoire)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</si>
  <si>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</si>
  <si>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</si>
  <si>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</si>
  <si>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</si>
  <si>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</si>
  <si>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</si>
  <si>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</si>
  <si>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</si>
  <si>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</si>
  <si>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</si>
  <si>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</si>
  <si>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</si>
  <si>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</si>
  <si>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</si>
  <si>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</si>
  <si>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</si>
  <si>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</si>
  <si>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</si>
  <si>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</si>
  <si>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</si>
  <si>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</si>
  <si>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</si>
  <si>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</si>
  <si>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</si>
  <si>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</si>
  <si>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</si>
  <si>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</si>
  <si>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</si>
  <si>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</si>
  <si>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</si>
  <si>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</si>
  <si>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</si>
  <si>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</si>
  <si>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</si>
  <si>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</si>
  <si>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</si>
  <si>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</si>
  <si>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</si>
  <si>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</si>
  <si>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</si>
  <si>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</si>
  <si>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</si>
  <si>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</si>
  <si>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</si>
  <si>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</si>
  <si>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</si>
  <si>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</si>
  <si>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</si>
  <si>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</si>
  <si>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</si>
  <si>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</si>
  <si>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</si>
  <si>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</si>
  <si>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</si>
  <si>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</si>
  <si>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</si>
  <si>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</si>
  <si>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</si>
  <si>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</si>
  <si>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</si>
  <si>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</si>
  <si>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</si>
  <si>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</si>
  <si>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</si>
  <si>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</si>
  <si>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</si>
  <si>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</si>
  <si>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</si>
  <si>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</si>
  <si>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</si>
  <si>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</si>
  <si>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</si>
  <si>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</si>
  <si>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</si>
  <si>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</si>
  <si>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</si>
  <si>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</si>
  <si>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</si>
  <si>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</si>
  <si>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</si>
  <si>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</si>
  <si>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</si>
  <si>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</si>
  <si>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</si>
  <si>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</si>
  <si>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</si>
  <si>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</si>
  <si>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</si>
  <si>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</si>
  <si>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</si>
  <si>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</si>
  <si>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</si>
  <si>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</si>
  <si>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</si>
  <si>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</si>
  <si>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</si>
  <si>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</si>
  <si>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</si>
  <si>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</si>
  <si>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</si>
  <si>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</si>
  <si>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</si>
  <si>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</si>
  <si>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United States of America</t>
  </si>
  <si>
    <t>Uruguay</t>
  </si>
  <si>
    <t>Uzbekistan</t>
  </si>
  <si>
    <t>Vanuatu</t>
  </si>
  <si>
    <t>Vatican City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</si>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</sst>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7"/>
  <sheetViews>
    <sheetView tabSelected="1" topLeftCell="D72" workbookViewId="0">
      <selection activeCell="F79" sqref="F79"/>
    </sheetView>
  </sheetViews>
  <sheetFormatPr defaultRowHeight="14.4" x14ac:dyDescent="0.3"/>
  <cols>
    <col min="2" max="2" width="29.33203125" customWidth="1"/>
    <col min="3" max="3" width="40.21875" customWidth="1"/>
    <col min="4" max="4" width="40.44140625" customWidth="1"/>
    <col min="5" max="5" width="41" customWidth="1"/>
    <col min="6" max="6" width="45.44140625" customWidth="1"/>
    <col min="7" max="7" width="52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203</v>
      </c>
      <c r="C2" t="str">
        <f>HYPERLINK("https://www.google.com/search?tbm=isch&amp;q=Afghanistan+Buddhas+of+Bamiyan", "Buddhas of Bamiyan")</f>
        <v>Buddhas of Bamiyan</v>
      </c>
      <c r="D2" t="str">
        <f>HYPERLINK("https://www.google.com/search?tbm=isch&amp;q=Afghanistan+Band-e+Amir+National+Park", "Band-e Amir National Park")</f>
        <v>Band-e Amir National Park</v>
      </c>
      <c r="E2" t="str">
        <f>HYPERLINK("https://www.google.com/search?tbm=isch&amp;q=Afghanistan+Babur+Tomb", "Babur Tomb")</f>
        <v>Babur Tomb</v>
      </c>
      <c r="F2" t="str">
        <f>HYPERLINK("https://www.google.com/search?tbm=isch&amp;q=Afghanistan+Friday+Mosque+of+Herat", "Friday Mosque of Herat")</f>
        <v>Friday Mosque of Herat</v>
      </c>
      <c r="G2" t="str">
        <f>HYPERLINK("https://www.google.com/search?tbm=isch&amp;q=Afghanistan+Minaret+of+Jam", "Minaret of Jam")</f>
        <v>Minaret of Jam</v>
      </c>
    </row>
    <row r="3" spans="1:7" x14ac:dyDescent="0.3">
      <c r="A3" t="s">
        <v>8</v>
      </c>
      <c r="B3" t="s">
        <v>204</v>
      </c>
      <c r="C3" t="str">
        <f>HYPERLINK("https://www.google.com/search?tbm=isch&amp;q=Albania+Butrint+Ancient+City", "Butrint Ancient City")</f>
        <v>Butrint Ancient City</v>
      </c>
      <c r="D3" t="str">
        <f>HYPERLINK("https://www.google.com/search?tbm=isch&amp;q=Albania+Gjirokastër+Castle", "Gjirokastër Castle")</f>
        <v>Gjirokastër Castle</v>
      </c>
      <c r="E3" t="str">
        <f>HYPERLINK("https://www.google.com/search?tbm=isch&amp;q=Albania+Berat+Old+Town", "Berat Old Town")</f>
        <v>Berat Old Town</v>
      </c>
      <c r="F3" t="str">
        <f>HYPERLINK("https://www.google.com/search?tbm=isch&amp;q=Albania+Ksamil+Islands", "Ksamil Islands")</f>
        <v>Ksamil Islands</v>
      </c>
      <c r="G3" t="str">
        <f>HYPERLINK("https://www.google.com/search?tbm=isch&amp;q=Albania+Theth+National+Park", "Theth National Park")</f>
        <v>Theth National Park</v>
      </c>
    </row>
    <row r="4" spans="1:7" x14ac:dyDescent="0.3">
      <c r="A4" t="s">
        <v>9</v>
      </c>
      <c r="B4" t="s">
        <v>205</v>
      </c>
      <c r="C4" t="str">
        <f>HYPERLINK("https://www.google.com/search?tbm=isch&amp;q=Algeria+Tassili+n'Ajjer", "Tassili n'Ajjer")</f>
        <v>Tassili n'Ajjer</v>
      </c>
      <c r="D4" t="str">
        <f>HYPERLINK("https://www.google.com/search?tbm=isch&amp;q=Algeria+Notre+Dame+d'Afrique", "Notre Dame d'Afrique")</f>
        <v>Notre Dame d'Afrique</v>
      </c>
      <c r="E4" t="str">
        <f>HYPERLINK("https://www.google.com/search?tbm=isch&amp;q=Algeria+Roman+Ruins+of+Tipasa", "Roman Ruins of Tipasa")</f>
        <v>Roman Ruins of Tipasa</v>
      </c>
      <c r="F4" t="str">
        <f>HYPERLINK("https://www.google.com/search?tbm=isch&amp;q=Algeria+El+Kala+National+Park", "El Kala National Park")</f>
        <v>El Kala National Park</v>
      </c>
      <c r="G4" t="str">
        <f>HYPERLINK("https://www.google.com/search?tbm=isch&amp;q=Algeria+M'Zab+Valley", "M'Zab Valley")</f>
        <v>M'Zab Valley</v>
      </c>
    </row>
    <row r="5" spans="1:7" x14ac:dyDescent="0.3">
      <c r="A5" t="s">
        <v>10</v>
      </c>
      <c r="B5" t="s">
        <v>206</v>
      </c>
      <c r="C5" t="str">
        <f>HYPERLINK("https://www.google.com/search?tbm=isch&amp;q=Andorra+Casa+de+la+Vall", "Casa de la Vall")</f>
        <v>Casa de la Vall</v>
      </c>
      <c r="D5" t="str">
        <f>HYPERLINK("https://www.google.com/search?tbm=isch&amp;q=Andorra+Madriu-Perafita-Claror+Valley", "Madriu-Perafita-Claror Valley")</f>
        <v>Madriu-Perafita-Claror Valley</v>
      </c>
      <c r="E5" t="str">
        <f>HYPERLINK("https://www.google.com/search?tbm=isch&amp;q=Andorra+Pal-Arinsal+Ski+Resort", "Pal-Arinsal Ski Resort")</f>
        <v>Pal-Arinsal Ski Resort</v>
      </c>
      <c r="F5" t="str">
        <f>HYPERLINK("https://www.google.com/search?tbm=isch&amp;q=Andorra+Sant+Joan+de+Caselles", "Sant Joan de Caselles")</f>
        <v>Sant Joan de Caselles</v>
      </c>
      <c r="G5" t="str">
        <f>HYPERLINK("https://www.google.com/search?tbm=isch&amp;q=Andorra+Caldea+Spa", "Caldea Spa")</f>
        <v>Caldea Spa</v>
      </c>
    </row>
    <row r="6" spans="1:7" x14ac:dyDescent="0.3">
      <c r="A6" t="s">
        <v>11</v>
      </c>
      <c r="B6" t="s">
        <v>207</v>
      </c>
      <c r="C6" t="str">
        <f>HYPERLINK("https://www.google.com/search?tbm=isch&amp;q=Angola+Kalandula+Falls", "Kalandula Falls")</f>
        <v>Kalandula Falls</v>
      </c>
      <c r="D6" t="str">
        <f>HYPERLINK("https://www.google.com/search?tbm=isch&amp;q=Angola+Tundavala+Fissure", "Tundavala Fissure")</f>
        <v>Tundavala Fissure</v>
      </c>
      <c r="E6" t="str">
        <f>HYPERLINK("https://www.google.com/search?tbm=isch&amp;q=Angola+Mupa+National+Park", "Mupa National Park")</f>
        <v>Mupa National Park</v>
      </c>
      <c r="F6" t="str">
        <f>HYPERLINK("https://www.google.com/search?tbm=isch&amp;q=Angola+Miradouro+da+Lua", "Miradouro da Lua")</f>
        <v>Miradouro da Lua</v>
      </c>
      <c r="G6" t="str">
        <f>HYPERLINK("https://www.google.com/search?tbm=isch&amp;q=Angola+Kissama+National+Park", "Kissama National Park")</f>
        <v>Kissama National Park</v>
      </c>
    </row>
    <row r="7" spans="1:7" x14ac:dyDescent="0.3">
      <c r="A7" t="s">
        <v>12</v>
      </c>
      <c r="B7" t="s">
        <v>208</v>
      </c>
      <c r="C7" t="str">
        <f>HYPERLINK("https://www.google.com/search?tbm=isch&amp;q=Antigua+and+Barbuda+Nelson's+Dockyard", "Nelson's Dockyard")</f>
        <v>Nelson's Dockyard</v>
      </c>
      <c r="D7" t="str">
        <f>HYPERLINK("https://www.google.com/search?tbm=isch&amp;q=Antigua+and+Barbuda+Shirley+Heights", "Shirley Heights")</f>
        <v>Shirley Heights</v>
      </c>
      <c r="E7" t="str">
        <f>HYPERLINK("https://www.google.com/search?tbm=isch&amp;q=Antigua+and+Barbuda+Dickenson+Bay", "Dickenson Bay")</f>
        <v>Dickenson Bay</v>
      </c>
      <c r="F7" t="str">
        <f>HYPERLINK("https://www.google.com/search?tbm=isch&amp;q=Antigua+and+Barbuda+St.+John's+Cathedral", "St. John's Cathedral")</f>
        <v>St. John's Cathedral</v>
      </c>
      <c r="G7" t="str">
        <f>HYPERLINK("https://www.google.com/search?tbm=isch&amp;q=Antigua+and+Barbuda+Devil's+Bridge", "Devil's Bridge")</f>
        <v>Devil's Bridge</v>
      </c>
    </row>
    <row r="8" spans="1:7" x14ac:dyDescent="0.3">
      <c r="A8" t="s">
        <v>13</v>
      </c>
      <c r="B8" t="s">
        <v>209</v>
      </c>
      <c r="C8" t="str">
        <f>HYPERLINK("https://www.google.com/search?tbm=isch&amp;q=Argentina+Iguazu+Falls", "Iguazu Falls")</f>
        <v>Iguazu Falls</v>
      </c>
      <c r="D8" t="str">
        <f>HYPERLINK("https://www.google.com/search?tbm=isch&amp;q=Argentina+Perito+Moreno+Glacier", "Perito Moreno Glacier")</f>
        <v>Perito Moreno Glacier</v>
      </c>
      <c r="E8" t="str">
        <f>HYPERLINK("https://www.google.com/search?tbm=isch&amp;q=Argentina+La+Boca+Buenos+Aires", "La Boca Buenos Aires")</f>
        <v>La Boca Buenos Aires</v>
      </c>
      <c r="F8" t="str">
        <f>HYPERLINK("https://www.google.com/search?tbm=isch&amp;q=Argentina+Bariloche+Lake+District", "Bariloche Lake District")</f>
        <v>Bariloche Lake District</v>
      </c>
      <c r="G8" t="str">
        <f>HYPERLINK("https://www.google.com/search?tbm=isch&amp;q=Argentina+Mount+Fitz+Roy", "Mount Fitz Roy")</f>
        <v>Mount Fitz Roy</v>
      </c>
    </row>
    <row r="9" spans="1:7" x14ac:dyDescent="0.3">
      <c r="A9" t="s">
        <v>14</v>
      </c>
      <c r="B9" t="s">
        <v>210</v>
      </c>
      <c r="C9" t="str">
        <f>HYPERLINK("https://www.google.com/search?tbm=isch&amp;q=Armenia+Tatev+Monastery", "Tatev Monastery")</f>
        <v>Tatev Monastery</v>
      </c>
      <c r="D9" t="str">
        <f>HYPERLINK("https://www.google.com/search?tbm=isch&amp;q=Armenia+Lake+Sevan", "Lake Sevan")</f>
        <v>Lake Sevan</v>
      </c>
      <c r="E9" t="str">
        <f>HYPERLINK("https://www.google.com/search?tbm=isch&amp;q=Armenia+Garni+Temple", "Garni Temple")</f>
        <v>Garni Temple</v>
      </c>
      <c r="F9" t="str">
        <f>HYPERLINK("https://www.google.com/search?tbm=isch&amp;q=Armenia+Geghard+Monastery", "Geghard Monastery")</f>
        <v>Geghard Monastery</v>
      </c>
      <c r="G9" t="str">
        <f>HYPERLINK("https://www.google.com/search?tbm=isch&amp;q=Armenia+Republic+Square+Yerevan", "Republic Square Yerevan")</f>
        <v>Republic Square Yerevan</v>
      </c>
    </row>
    <row r="10" spans="1:7" x14ac:dyDescent="0.3">
      <c r="A10" t="s">
        <v>15</v>
      </c>
      <c r="B10" t="s">
        <v>211</v>
      </c>
      <c r="C10" t="str">
        <f>HYPERLINK("https://www.google.com/search?tbm=isch&amp;q=Australia+Sydney+Opera+House", "Sydney Opera House")</f>
        <v>Sydney Opera House</v>
      </c>
      <c r="D10" t="str">
        <f>HYPERLINK("https://www.google.com/search?tbm=isch&amp;q=Australia+Great+Barrier+Reef", "Great Barrier Reef")</f>
        <v>Great Barrier Reef</v>
      </c>
      <c r="E10" t="str">
        <f>HYPERLINK("https://www.google.com/search?tbm=isch&amp;q=Australia+Uluru+(Ayers+Rock)", "Uluru (Ayers Rock)")</f>
        <v>Uluru (Ayers Rock)</v>
      </c>
      <c r="F10" t="str">
        <f>HYPERLINK("https://www.google.com/search?tbm=isch&amp;q=Australia+Great+Ocean+Road", "Great Ocean Road")</f>
        <v>Great Ocean Road</v>
      </c>
      <c r="G10" t="str">
        <f>HYPERLINK("https://www.google.com/search?tbm=isch&amp;q=Australia+Blue+Mountains", "Blue Mountains")</f>
        <v>Blue Mountains</v>
      </c>
    </row>
    <row r="11" spans="1:7" x14ac:dyDescent="0.3">
      <c r="A11" t="s">
        <v>16</v>
      </c>
      <c r="B11" t="s">
        <v>212</v>
      </c>
      <c r="C11" t="str">
        <f>HYPERLINK("https://www.google.com/search?tbm=isch&amp;q=Austria+Schönbrunn+Palace", "Schönbrunn Palace")</f>
        <v>Schönbrunn Palace</v>
      </c>
      <c r="D11" t="str">
        <f>HYPERLINK("https://www.google.com/search?tbm=isch&amp;q=Austria+Hallstatt+Village", "Hallstatt Village")</f>
        <v>Hallstatt Village</v>
      </c>
      <c r="E11" t="str">
        <f>HYPERLINK("https://www.google.com/search?tbm=isch&amp;q=Austria+St.+Stephen's+Cathedral", "St. Stephen's Cathedral")</f>
        <v>St. Stephen's Cathedral</v>
      </c>
      <c r="F11" t="str">
        <f>HYPERLINK("https://www.google.com/search?tbm=isch&amp;q=Austria+Hofburg+Palace", "Hofburg Palace")</f>
        <v>Hofburg Palace</v>
      </c>
      <c r="G11" t="str">
        <f>HYPERLINK("https://www.google.com/search?tbm=isch&amp;q=Austria+Melk+Abbey", "Melk Abbey")</f>
        <v>Melk Abbey</v>
      </c>
    </row>
    <row r="12" spans="1:7" x14ac:dyDescent="0.3">
      <c r="A12" t="s">
        <v>17</v>
      </c>
      <c r="B12" t="s">
        <v>213</v>
      </c>
      <c r="C12" t="str">
        <f>HYPERLINK("https://www.google.com/search?tbm=isch&amp;q=Azerbaijan+Maiden+Tower", "Maiden Tower")</f>
        <v>Maiden Tower</v>
      </c>
      <c r="D12" t="str">
        <f>HYPERLINK("https://www.google.com/search?tbm=isch&amp;q=Azerbaijan+Gobustan+Rock+Art", "Gobustan Rock Art")</f>
        <v>Gobustan Rock Art</v>
      </c>
      <c r="E12" t="str">
        <f>HYPERLINK("https://www.google.com/search?tbm=isch&amp;q=Azerbaijan+Heydar+Aliyev+Center", "Heydar Aliyev Center")</f>
        <v>Heydar Aliyev Center</v>
      </c>
      <c r="F12" t="str">
        <f>HYPERLINK("https://www.google.com/search?tbm=isch&amp;q=Azerbaijan+Mud+Volcanoes+Baku", "Mud Volcanoes Baku")</f>
        <v>Mud Volcanoes Baku</v>
      </c>
      <c r="G12" t="str">
        <f>HYPERLINK("https://www.google.com/search?tbm=isch&amp;q=Azerbaijan+Sheki+Khans+Palace", "Sheki Khans Palace")</f>
        <v>Sheki Khans Palace</v>
      </c>
    </row>
    <row r="13" spans="1:7" x14ac:dyDescent="0.3">
      <c r="A13" t="s">
        <v>18</v>
      </c>
      <c r="B13" t="s">
        <v>214</v>
      </c>
      <c r="C13" t="str">
        <f>HYPERLINK("https://www.google.com/search?tbm=isch&amp;q=Bahamas+Atlantis+Paradise+Island", "Atlantis Paradise Island")</f>
        <v>Atlantis Paradise Island</v>
      </c>
      <c r="D13" t="str">
        <f>HYPERLINK("https://www.google.com/search?tbm=isch&amp;q=Bahamas+Exuma+Cays+Land+and+Sea+Park", "Exuma Cays Land and Sea Park")</f>
        <v>Exuma Cays Land and Sea Park</v>
      </c>
      <c r="E13" t="str">
        <f>HYPERLINK("https://www.google.com/search?tbm=isch&amp;q=Bahamas+Blue+Lagoon+Island", "Blue Lagoon Island")</f>
        <v>Blue Lagoon Island</v>
      </c>
      <c r="F13" t="str">
        <f>HYPERLINK("https://www.google.com/search?tbm=isch&amp;q=Bahamas+Pig+Beach", "Pig Beach")</f>
        <v>Pig Beach</v>
      </c>
      <c r="G13" t="str">
        <f>HYPERLINK("https://www.google.com/search?tbm=isch&amp;q=Bahamas+Nassau+Straw+Market", "Nassau Straw Market")</f>
        <v>Nassau Straw Market</v>
      </c>
    </row>
    <row r="14" spans="1:7" x14ac:dyDescent="0.3">
      <c r="A14" t="s">
        <v>19</v>
      </c>
      <c r="B14" t="s">
        <v>215</v>
      </c>
      <c r="C14" t="str">
        <f>HYPERLINK("https://www.google.com/search?tbm=isch&amp;q=Bahrain+Qal'at+al-Bahrain", "Qal'at al-Bahrain")</f>
        <v>Qal'at al-Bahrain</v>
      </c>
      <c r="D14" t="str">
        <f>HYPERLINK("https://www.google.com/search?tbm=isch&amp;q=Bahrain+Al+Fateh+Grand+Mosque", "Al Fateh Grand Mosque")</f>
        <v>Al Fateh Grand Mosque</v>
      </c>
      <c r="E14" t="str">
        <f>HYPERLINK("https://www.google.com/search?tbm=isch&amp;q=Bahrain+Tree+of+Life", "Tree of Life")</f>
        <v>Tree of Life</v>
      </c>
      <c r="F14" t="str">
        <f>HYPERLINK("https://www.google.com/search?tbm=isch&amp;q=Bahrain+Bahrain+National+Museum", "Bahrain National Museum")</f>
        <v>Bahrain National Museum</v>
      </c>
      <c r="G14" t="str">
        <f>HYPERLINK("https://www.google.com/search?tbm=isch&amp;q=Bahrain+Bab+Al+Bahrain", "Bab Al Bahrain")</f>
        <v>Bab Al Bahrain</v>
      </c>
    </row>
    <row r="15" spans="1:7" x14ac:dyDescent="0.3">
      <c r="A15" t="s">
        <v>20</v>
      </c>
      <c r="B15" t="s">
        <v>216</v>
      </c>
      <c r="C15" t="str">
        <f>HYPERLINK("https://www.google.com/search?tbm=isch&amp;q=Bangladesh+Sundarbans+Mangrove+Forest", "Sundarbans Mangrove Forest")</f>
        <v>Sundarbans Mangrove Forest</v>
      </c>
      <c r="D15" t="str">
        <f>HYPERLINK("https://www.google.com/search?tbm=isch&amp;q=Bangladesh+Cox's+Bazar+Beach", "Cox's Bazar Beach")</f>
        <v>Cox's Bazar Beach</v>
      </c>
      <c r="E15" t="str">
        <f>HYPERLINK("https://www.google.com/search?tbm=isch&amp;q=Bangladesh+Lalbagh+Fort", "Lalbagh Fort")</f>
        <v>Lalbagh Fort</v>
      </c>
      <c r="F15" t="str">
        <f>HYPERLINK("https://www.google.com/search?tbm=isch&amp;q=Bangladesh+Ahsan+Manzil", "Ahsan Manzil")</f>
        <v>Ahsan Manzil</v>
      </c>
      <c r="G15" t="str">
        <f>HYPERLINK("https://www.google.com/search?tbm=isch&amp;q=Bangladesh+Sreemangal+Tea+Gardens", "Sreemangal Tea Gardens")</f>
        <v>Sreemangal Tea Gardens</v>
      </c>
    </row>
    <row r="16" spans="1:7" x14ac:dyDescent="0.3">
      <c r="A16" t="s">
        <v>21</v>
      </c>
      <c r="B16" t="s">
        <v>217</v>
      </c>
      <c r="C16" t="str">
        <f>HYPERLINK("https://www.google.com/search?tbm=isch&amp;q=Barbados+Harrison's+Cave", "Harrison's Cave")</f>
        <v>Harrison's Cave</v>
      </c>
      <c r="D16" t="str">
        <f>HYPERLINK("https://www.google.com/search?tbm=isch&amp;q=Barbados+The+Crane+Beach", "The Crane Beach")</f>
        <v>The Crane Beach</v>
      </c>
      <c r="E16" t="str">
        <f>HYPERLINK("https://www.google.com/search?tbm=isch&amp;q=Barbados+Carlisle+Bay", "Carlisle Bay")</f>
        <v>Carlisle Bay</v>
      </c>
      <c r="F16" t="str">
        <f>HYPERLINK("https://www.google.com/search?tbm=isch&amp;q=Barbados+St.+Nicholas+Abbey", "St. Nicholas Abbey")</f>
        <v>St. Nicholas Abbey</v>
      </c>
      <c r="G16" t="str">
        <f>HYPERLINK("https://www.google.com/search?tbm=isch&amp;q=Barbados+Animal+Flower+Cave", "Animal Flower Cave")</f>
        <v>Animal Flower Cave</v>
      </c>
    </row>
    <row r="17" spans="1:7" x14ac:dyDescent="0.3">
      <c r="A17" t="s">
        <v>22</v>
      </c>
      <c r="B17" t="s">
        <v>218</v>
      </c>
      <c r="C17" t="str">
        <f>HYPERLINK("https://www.google.com/search?tbm=isch&amp;q=Belarus+Mir+Castle", "Mir Castle")</f>
        <v>Mir Castle</v>
      </c>
      <c r="D17" t="str">
        <f>HYPERLINK("https://www.google.com/search?tbm=isch&amp;q=Belarus+Nesvizh+Castle", "Nesvizh Castle")</f>
        <v>Nesvizh Castle</v>
      </c>
      <c r="E17" t="str">
        <f>HYPERLINK("https://www.google.com/search?tbm=isch&amp;q=Belarus+Brest+Fortress", "Brest Fortress")</f>
        <v>Brest Fortress</v>
      </c>
      <c r="F17" t="str">
        <f>HYPERLINK("https://www.google.com/search?tbm=isch&amp;q=Belarus+Belovezhskaya+Pushcha", "Belovezhskaya Pushcha")</f>
        <v>Belovezhskaya Pushcha</v>
      </c>
      <c r="G17" t="str">
        <f>HYPERLINK("https://www.google.com/search?tbm=isch&amp;q=Belarus+Minsk+Independence+Square", "Minsk Independence Square")</f>
        <v>Minsk Independence Square</v>
      </c>
    </row>
    <row r="18" spans="1:7" x14ac:dyDescent="0.3">
      <c r="A18" t="s">
        <v>23</v>
      </c>
      <c r="B18" t="s">
        <v>219</v>
      </c>
      <c r="C18" t="str">
        <f>HYPERLINK("https://www.google.com/search?tbm=isch&amp;q=Belgium+Grand+Place+Brussels", "Grand Place Brussels")</f>
        <v>Grand Place Brussels</v>
      </c>
      <c r="D18" t="str">
        <f>HYPERLINK("https://www.google.com/search?tbm=isch&amp;q=Belgium+Canals+of+Bruges", "Canals of Bruges")</f>
        <v>Canals of Bruges</v>
      </c>
      <c r="E18" t="str">
        <f>HYPERLINK("https://www.google.com/search?tbm=isch&amp;q=Belgium+Gravensteen+Castle", "Gravensteen Castle")</f>
        <v>Gravensteen Castle</v>
      </c>
      <c r="F18" t="str">
        <f>HYPERLINK("https://www.google.com/search?tbm=isch&amp;q=Belgium+Atomium", "Atomium")</f>
        <v>Atomium</v>
      </c>
      <c r="G18" t="str">
        <f>HYPERLINK("https://www.google.com/search?tbm=isch&amp;q=Belgium+Ghent+Belfry", "Ghent Belfry")</f>
        <v>Ghent Belfry</v>
      </c>
    </row>
    <row r="19" spans="1:7" x14ac:dyDescent="0.3">
      <c r="A19" t="s">
        <v>24</v>
      </c>
      <c r="B19" t="s">
        <v>220</v>
      </c>
      <c r="C19" t="str">
        <f>HYPERLINK("https://www.google.com/search?tbm=isch&amp;q=Belize+Great+Blue+Hole", "Great Blue Hole")</f>
        <v>Great Blue Hole</v>
      </c>
      <c r="D19" t="str">
        <f>HYPERLINK("https://www.google.com/search?tbm=isch&amp;q=Belize+Xunantunich+Mayan+Ruins", "Xunantunich Mayan Ruins")</f>
        <v>Xunantunich Mayan Ruins</v>
      </c>
      <c r="E19" t="str">
        <f>HYPERLINK("https://www.google.com/search?tbm=isch&amp;q=Belize+Caye+Caulker", "Caye Caulker")</f>
        <v>Caye Caulker</v>
      </c>
      <c r="F19" t="str">
        <f>HYPERLINK("https://www.google.com/search?tbm=isch&amp;q=Belize+Lamanai+Temple", "Lamanai Temple")</f>
        <v>Lamanai Temple</v>
      </c>
      <c r="G19" t="str">
        <f>HYPERLINK("https://www.google.com/search?tbm=isch&amp;q=Belize+Placencia+Peninsula", "Placencia Peninsula")</f>
        <v>Placencia Peninsula</v>
      </c>
    </row>
    <row r="20" spans="1:7" x14ac:dyDescent="0.3">
      <c r="A20" t="s">
        <v>25</v>
      </c>
      <c r="B20" t="s">
        <v>221</v>
      </c>
      <c r="C20" t="str">
        <f>HYPERLINK("https://www.google.com/search?tbm=isch&amp;q=Benin+Pendjari+National+Park", "Pendjari National Park")</f>
        <v>Pendjari National Park</v>
      </c>
      <c r="D20" t="str">
        <f>HYPERLINK("https://www.google.com/search?tbm=isch&amp;q=Benin+Ganvie+Stilt+Village", "Ganvie Stilt Village")</f>
        <v>Ganvie Stilt Village</v>
      </c>
      <c r="E20" t="str">
        <f>HYPERLINK("https://www.google.com/search?tbm=isch&amp;q=Benin+Ouidah+Museum+of+History", "Ouidah Museum of History")</f>
        <v>Ouidah Museum of History</v>
      </c>
      <c r="F20" t="str">
        <f>HYPERLINK("https://www.google.com/search?tbm=isch&amp;q=Benin+Royal+Palaces+of+Abomey", "Royal Palaces of Abomey")</f>
        <v>Royal Palaces of Abomey</v>
      </c>
      <c r="G20" t="str">
        <f>HYPERLINK("https://www.google.com/search?tbm=isch&amp;q=Benin+Grand+Popo+Beach", "Grand Popo Beach")</f>
        <v>Grand Popo Beach</v>
      </c>
    </row>
    <row r="21" spans="1:7" x14ac:dyDescent="0.3">
      <c r="A21" t="s">
        <v>26</v>
      </c>
      <c r="B21" t="s">
        <v>222</v>
      </c>
      <c r="C21" t="str">
        <f>HYPERLINK("https://www.google.com/search?tbm=isch&amp;q=Bhutan+Paro+Taktsang+(Tiger's+Nest)", "Paro Taktsang (Tiger's Nest)")</f>
        <v>Paro Taktsang (Tiger's Nest)</v>
      </c>
      <c r="D21" t="str">
        <f>HYPERLINK("https://www.google.com/search?tbm=isch&amp;q=Bhutan+Punakha+Dzong", "Punakha Dzong")</f>
        <v>Punakha Dzong</v>
      </c>
      <c r="E21" t="str">
        <f>HYPERLINK("https://www.google.com/search?tbm=isch&amp;q=Bhutan+Buddha+Dordenma", "Buddha Dordenma")</f>
        <v>Buddha Dordenma</v>
      </c>
      <c r="F21" t="str">
        <f>HYPERLINK("https://www.google.com/search?tbm=isch&amp;q=Bhutan+Dochula+Pass", "Dochula Pass")</f>
        <v>Dochula Pass</v>
      </c>
      <c r="G21" t="str">
        <f>HYPERLINK("https://www.google.com/search?tbm=isch&amp;q=Bhutan+Phobjikha+Valley", "Phobjikha Valley")</f>
        <v>Phobjikha Valley</v>
      </c>
    </row>
    <row r="22" spans="1:7" x14ac:dyDescent="0.3">
      <c r="A22" t="s">
        <v>27</v>
      </c>
      <c r="B22" t="s">
        <v>223</v>
      </c>
      <c r="C22" t="str">
        <f>HYPERLINK("https://www.google.com/search?tbm=isch&amp;q=Bolivia+Salar+de+Uyuni", "Salar de Uyuni")</f>
        <v>Salar de Uyuni</v>
      </c>
      <c r="D22" t="str">
        <f>HYPERLINK("https://www.google.com/search?tbm=isch&amp;q=Bolivia+Lake+Titicaca", "Lake Titicaca")</f>
        <v>Lake Titicaca</v>
      </c>
      <c r="E22" t="str">
        <f>HYPERLINK("https://www.google.com/search?tbm=isch&amp;q=Bolivia+Tiwanaku+Ruins", "Tiwanaku Ruins")</f>
        <v>Tiwanaku Ruins</v>
      </c>
      <c r="F22" t="str">
        <f>HYPERLINK("https://www.google.com/search?tbm=isch&amp;q=Bolivia+Madidi+National+Park", "Madidi National Park")</f>
        <v>Madidi National Park</v>
      </c>
      <c r="G22" t="str">
        <f>HYPERLINK("https://www.google.com/search?tbm=isch&amp;q=Bolivia+Death+Road+(Yungas)", "Death Road (Yungas)")</f>
        <v>Death Road (Yungas)</v>
      </c>
    </row>
    <row r="23" spans="1:7" x14ac:dyDescent="0.3">
      <c r="A23" t="s">
        <v>28</v>
      </c>
      <c r="B23" t="s">
        <v>224</v>
      </c>
      <c r="C23" t="str">
        <f>HYPERLINK("https://www.google.com/search?tbm=isch&amp;q=Bosnia+and+Herzegovina+Stari+Most+(Mostar)", "Stari Most (Mostar)")</f>
        <v>Stari Most (Mostar)</v>
      </c>
      <c r="D23" t="str">
        <f>HYPERLINK("https://www.google.com/search?tbm=isch&amp;q=Bosnia+and+Herzegovina+Baščaršija+Sarajevo", "Baščaršija Sarajevo")</f>
        <v>Baščaršija Sarajevo</v>
      </c>
      <c r="E23" t="str">
        <f>HYPERLINK("https://www.google.com/search?tbm=isch&amp;q=Bosnia+and+Herzegovina+Kravice+Waterfalls", "Kravice Waterfalls")</f>
        <v>Kravice Waterfalls</v>
      </c>
      <c r="F23" t="str">
        <f>HYPERLINK("https://www.google.com/search?tbm=isch&amp;q=Bosnia+and+Herzegovina+Blagaj+Tekke", "Blagaj Tekke")</f>
        <v>Blagaj Tekke</v>
      </c>
      <c r="G23" t="str">
        <f>HYPERLINK("https://www.google.com/search?tbm=isch&amp;q=Bosnia+and+Herzegovina+Jajce+Waterfalls", "Jajce Waterfalls")</f>
        <v>Jajce Waterfalls</v>
      </c>
    </row>
    <row r="24" spans="1:7" x14ac:dyDescent="0.3">
      <c r="A24" t="s">
        <v>29</v>
      </c>
      <c r="B24" t="s">
        <v>225</v>
      </c>
      <c r="C24" t="str">
        <f>HYPERLINK("https://www.google.com/search?tbm=isch&amp;q=Botswana+Okavango+Delta", "Okavango Delta")</f>
        <v>Okavango Delta</v>
      </c>
      <c r="D24" t="str">
        <f>HYPERLINK("https://www.google.com/search?tbm=isch&amp;q=Botswana+Chobe+National+Park", "Chobe National Park")</f>
        <v>Chobe National Park</v>
      </c>
      <c r="E24" t="str">
        <f>HYPERLINK("https://www.google.com/search?tbm=isch&amp;q=Botswana+Tsodilo+Hills", "Tsodilo Hills")</f>
        <v>Tsodilo Hills</v>
      </c>
      <c r="F24" t="str">
        <f>HYPERLINK("https://www.google.com/search?tbm=isch&amp;q=Botswana+Nxai+Pan+National+Park", "Nxai Pan National Park")</f>
        <v>Nxai Pan National Park</v>
      </c>
      <c r="G24" t="str">
        <f>HYPERLINK("https://www.google.com/search?tbm=isch&amp;q=Botswana+Central+Kalahari+Game+Reserve", "Central Kalahari Game Reserve")</f>
        <v>Central Kalahari Game Reserve</v>
      </c>
    </row>
    <row r="25" spans="1:7" x14ac:dyDescent="0.3">
      <c r="A25" t="s">
        <v>30</v>
      </c>
      <c r="B25" t="s">
        <v>226</v>
      </c>
      <c r="C25" t="str">
        <f>HYPERLINK("https://www.google.com/search?tbm=isch&amp;q=Brazil+Christ+the+Redeemer", "Christ the Redeemer")</f>
        <v>Christ the Redeemer</v>
      </c>
      <c r="D25" t="str">
        <f>HYPERLINK("https://www.google.com/search?tbm=isch&amp;q=Brazil+Sugarloaf+Mountain", "Sugarloaf Mountain")</f>
        <v>Sugarloaf Mountain</v>
      </c>
      <c r="E25" t="str">
        <f>HYPERLINK("https://www.google.com/search?tbm=isch&amp;q=Brazil+Iguazu+Falls", "Iguazu Falls")</f>
        <v>Iguazu Falls</v>
      </c>
      <c r="F25" t="str">
        <f>HYPERLINK("https://www.google.com/search?tbm=isch&amp;q=Brazil+Amazon+Rainforest", "Amazon Rainforest")</f>
        <v>Amazon Rainforest</v>
      </c>
      <c r="G25" t="str">
        <f>HYPERLINK("https://www.google.com/search?tbm=isch&amp;q=Brazil+Copacabana+Beach", "Copacabana Beach")</f>
        <v>Copacabana Beach</v>
      </c>
    </row>
    <row r="26" spans="1:7" x14ac:dyDescent="0.3">
      <c r="A26" t="s">
        <v>31</v>
      </c>
      <c r="B26" t="s">
        <v>227</v>
      </c>
      <c r="C26" t="str">
        <f>HYPERLINK("https://www.google.com/search?tbm=isch&amp;q=Brunei+Sultan+Omar+Ali+Saifuddien+Mosque", "Sultan Omar Ali Saifuddien Mosque")</f>
        <v>Sultan Omar Ali Saifuddien Mosque</v>
      </c>
      <c r="D26" t="str">
        <f>HYPERLINK("https://www.google.com/search?tbm=isch&amp;q=Brunei+Kampong+Ayer", "Kampong Ayer")</f>
        <v>Kampong Ayer</v>
      </c>
      <c r="E26" t="str">
        <f>HYPERLINK("https://www.google.com/search?tbm=isch&amp;q=Brunei+Ulu+Temburong+National+Park", "Ulu Temburong National Park")</f>
        <v>Ulu Temburong National Park</v>
      </c>
      <c r="F26" t="str">
        <f>HYPERLINK("https://www.google.com/search?tbm=isch&amp;q=Brunei+Jame'+Asr+Hassanil+Bolkiah", "Jame' Asr Hassanil Bolkiah")</f>
        <v>Jame' Asr Hassanil Bolkiah</v>
      </c>
      <c r="G26" t="str">
        <f>HYPERLINK("https://www.google.com/search?tbm=isch&amp;q=Brunei+Istana+Nurul+Iman", "Istana Nurul Iman")</f>
        <v>Istana Nurul Iman</v>
      </c>
    </row>
    <row r="27" spans="1:7" x14ac:dyDescent="0.3">
      <c r="A27" t="s">
        <v>32</v>
      </c>
      <c r="B27" t="s">
        <v>228</v>
      </c>
      <c r="C27" t="str">
        <f>HYPERLINK("https://www.google.com/search?tbm=isch&amp;q=Bulgaria+Rila+Monastery", "Rila Monastery")</f>
        <v>Rila Monastery</v>
      </c>
      <c r="D27" t="str">
        <f>HYPERLINK("https://www.google.com/search?tbm=isch&amp;q=Bulgaria+Alexander+Nevsky+Cathedral", "Alexander Nevsky Cathedral")</f>
        <v>Alexander Nevsky Cathedral</v>
      </c>
      <c r="E27" t="str">
        <f>HYPERLINK("https://www.google.com/search?tbm=isch&amp;q=Bulgaria+Plovdiv+Old+Town", "Plovdiv Old Town")</f>
        <v>Plovdiv Old Town</v>
      </c>
      <c r="F27" t="str">
        <f>HYPERLINK("https://www.google.com/search?tbm=isch&amp;q=Bulgaria+Nesebar+Old+Town", "Nesebar Old Town")</f>
        <v>Nesebar Old Town</v>
      </c>
      <c r="G27" t="str">
        <f>HYPERLINK("https://www.google.com/search?tbm=isch&amp;q=Bulgaria+Seven+Rila+Lakes", "Seven Rila Lakes")</f>
        <v>Seven Rila Lakes</v>
      </c>
    </row>
    <row r="28" spans="1:7" x14ac:dyDescent="0.3">
      <c r="A28" t="s">
        <v>33</v>
      </c>
      <c r="B28" t="s">
        <v>229</v>
      </c>
      <c r="C28" t="str">
        <f>HYPERLINK("https://www.google.com/search?tbm=isch&amp;q=Burkina+Faso+Sindou+Peaks", "Sindou Peaks")</f>
        <v>Sindou Peaks</v>
      </c>
      <c r="D28" t="str">
        <f>HYPERLINK("https://www.google.com/search?tbm=isch&amp;q=Burkina+Faso+Cascades+de+Karfiguéla", "Cascades de Karfiguéla")</f>
        <v>Cascades de Karfiguéla</v>
      </c>
      <c r="E28" t="str">
        <f>HYPERLINK("https://www.google.com/search?tbm=isch&amp;q=Burkina+Faso+Grand+Mosque+of+Bobo-Dioulasso", "Grand Mosque of Bobo-Dioulasso")</f>
        <v>Grand Mosque of Bobo-Dioulasso</v>
      </c>
      <c r="F28" t="str">
        <f>HYPERLINK("https://www.google.com/search?tbm=isch&amp;q=Burkina+Faso+W+National+Park", "W National Park")</f>
        <v>W National Park</v>
      </c>
      <c r="G28" t="str">
        <f>HYPERLINK("https://www.google.com/search?tbm=isch&amp;q=Burkina+Faso+Tiébélé+Village", "Tiébélé Village")</f>
        <v>Tiébélé Village</v>
      </c>
    </row>
    <row r="29" spans="1:7" x14ac:dyDescent="0.3">
      <c r="A29" t="s">
        <v>34</v>
      </c>
      <c r="B29" t="s">
        <v>230</v>
      </c>
      <c r="C29" t="str">
        <f>HYPERLINK("https://www.google.com/search?tbm=isch&amp;q=Burundi+Rusizi+National+Park", "Rusizi National Park")</f>
        <v>Rusizi National Park</v>
      </c>
      <c r="D29" t="str">
        <f>HYPERLINK("https://www.google.com/search?tbm=isch&amp;q=Burundi+Source+of+the+Nile", "Source of the Nile")</f>
        <v>Source of the Nile</v>
      </c>
      <c r="E29" t="str">
        <f>HYPERLINK("https://www.google.com/search?tbm=isch&amp;q=Burundi+Kagera+Waterfalls", "Kagera Waterfalls")</f>
        <v>Kagera Waterfalls</v>
      </c>
      <c r="F29" t="str">
        <f>HYPERLINK("https://www.google.com/search?tbm=isch&amp;q=Burundi+Lake+Tanganyika", "Lake Tanganyika")</f>
        <v>Lake Tanganyika</v>
      </c>
      <c r="G29" t="str">
        <f>HYPERLINK("https://www.google.com/search?tbm=isch&amp;q=Burundi+Gishora+Drum+Sanctuary", "Gishora Drum Sanctuary")</f>
        <v>Gishora Drum Sanctuary</v>
      </c>
    </row>
    <row r="30" spans="1:7" x14ac:dyDescent="0.3">
      <c r="A30" t="s">
        <v>35</v>
      </c>
      <c r="B30" t="s">
        <v>231</v>
      </c>
      <c r="C30" t="str">
        <f>HYPERLINK("https://www.google.com/search?tbm=isch&amp;q=Cabo+Verde+Pico+do+Fogo", "Pico do Fogo")</f>
        <v>Pico do Fogo</v>
      </c>
      <c r="D30" t="str">
        <f>HYPERLINK("https://www.google.com/search?tbm=isch&amp;q=Cabo+Verde+Santa+Maria+Beach", "Santa Maria Beach")</f>
        <v>Santa Maria Beach</v>
      </c>
      <c r="E30" t="str">
        <f>HYPERLINK("https://www.google.com/search?tbm=isch&amp;q=Cabo+Verde+Mindelo+City", "Mindelo City")</f>
        <v>Mindelo City</v>
      </c>
      <c r="F30" t="str">
        <f>HYPERLINK("https://www.google.com/search?tbm=isch&amp;q=Cabo+Verde+Serra+Malagueta", "Serra Malagueta")</f>
        <v>Serra Malagueta</v>
      </c>
      <c r="G30" t="str">
        <f>HYPERLINK("https://www.google.com/search?tbm=isch&amp;q=Cabo+Verde+Chaves+Beach", "Chaves Beach")</f>
        <v>Chaves Beach</v>
      </c>
    </row>
    <row r="31" spans="1:7" x14ac:dyDescent="0.3">
      <c r="A31" t="s">
        <v>36</v>
      </c>
      <c r="B31" t="s">
        <v>232</v>
      </c>
      <c r="C31" t="str">
        <f>HYPERLINK("https://www.google.com/search?tbm=isch&amp;q=Cambodia+Angkor+Wat", "Angkor Wat")</f>
        <v>Angkor Wat</v>
      </c>
      <c r="D31" t="str">
        <f>HYPERLINK("https://www.google.com/search?tbm=isch&amp;q=Cambodia+Bayon+Temple", "Bayon Temple")</f>
        <v>Bayon Temple</v>
      </c>
      <c r="E31" t="str">
        <f>HYPERLINK("https://www.google.com/search?tbm=isch&amp;q=Cambodia+Tonle+Sap+Lake", "Tonle Sap Lake")</f>
        <v>Tonle Sap Lake</v>
      </c>
      <c r="F31" t="str">
        <f>HYPERLINK("https://www.google.com/search?tbm=isch&amp;q=Cambodia+Phnom+Penh+Royal+Palace", "Phnom Penh Royal Palace")</f>
        <v>Phnom Penh Royal Palace</v>
      </c>
      <c r="G31" t="str">
        <f>HYPERLINK("https://www.google.com/search?tbm=isch&amp;q=Cambodia+Koh+Rong+Island", "Koh Rong Island")</f>
        <v>Koh Rong Island</v>
      </c>
    </row>
    <row r="32" spans="1:7" x14ac:dyDescent="0.3">
      <c r="A32" t="s">
        <v>37</v>
      </c>
      <c r="B32" t="s">
        <v>233</v>
      </c>
      <c r="C32" t="str">
        <f>HYPERLINK("https://www.google.com/search?tbm=isch&amp;q=Cameroon+Mount+Cameroon", "Mount Cameroon")</f>
        <v>Mount Cameroon</v>
      </c>
      <c r="D32" t="str">
        <f>HYPERLINK("https://www.google.com/search?tbm=isch&amp;q=Cameroon+Waza+National+Park", "Waza National Park")</f>
        <v>Waza National Park</v>
      </c>
      <c r="E32" t="str">
        <f>HYPERLINK("https://www.google.com/search?tbm=isch&amp;q=Cameroon+Dja+Faunal+Reserve", "Dja Faunal Reserve")</f>
        <v>Dja Faunal Reserve</v>
      </c>
      <c r="F32" t="str">
        <f>HYPERLINK("https://www.google.com/search?tbm=isch&amp;q=Cameroon+Kribi+Beaches", "Kribi Beaches")</f>
        <v>Kribi Beaches</v>
      </c>
      <c r="G32" t="str">
        <f>HYPERLINK("https://www.google.com/search?tbm=isch&amp;q=Cameroon+Limbe+Wildlife+Centre", "Limbe Wildlife Centre")</f>
        <v>Limbe Wildlife Centre</v>
      </c>
    </row>
    <row r="33" spans="1:7" x14ac:dyDescent="0.3">
      <c r="A33" t="s">
        <v>38</v>
      </c>
      <c r="B33" t="s">
        <v>234</v>
      </c>
      <c r="C33" t="str">
        <f>HYPERLINK("https://www.google.com/search?tbm=isch&amp;q=Canada+Niagara+Falls", "Niagara Falls")</f>
        <v>Niagara Falls</v>
      </c>
      <c r="D33" t="str">
        <f>HYPERLINK("https://www.google.com/search?tbm=isch&amp;q=Canada+Banff+National+Park", "Banff National Park")</f>
        <v>Banff National Park</v>
      </c>
      <c r="E33" t="str">
        <f>HYPERLINK("https://www.google.com/search?tbm=isch&amp;q=Canada+CN+Tower", "CN Tower")</f>
        <v>CN Tower</v>
      </c>
      <c r="F33" t="str">
        <f>HYPERLINK("https://www.google.com/search?tbm=isch&amp;q=Canada+Old+Quebec", "Old Quebec")</f>
        <v>Old Quebec</v>
      </c>
      <c r="G33" t="str">
        <f>HYPERLINK("https://www.google.com/search?tbm=isch&amp;q=Canada+Whistler+Blackcomb", "Whistler Blackcomb")</f>
        <v>Whistler Blackcomb</v>
      </c>
    </row>
    <row r="34" spans="1:7" x14ac:dyDescent="0.3">
      <c r="A34" t="s">
        <v>39</v>
      </c>
      <c r="B34" t="s">
        <v>235</v>
      </c>
      <c r="C34" t="str">
        <f>HYPERLINK("https://www.google.com/search?tbm=isch&amp;q=Central+African+Republic+Dzanga-Sangha+National+Park", "Dzanga-Sangha National Park")</f>
        <v>Dzanga-Sangha National Park</v>
      </c>
      <c r="D34" t="str">
        <f>HYPERLINK("https://www.google.com/search?tbm=isch&amp;q=Central+African+Republic+Manovo-Gounda+St.+Floris", "Manovo-Gounda St. Floris")</f>
        <v>Manovo-Gounda St. Floris</v>
      </c>
      <c r="E34" t="str">
        <f>HYPERLINK("https://www.google.com/search?tbm=isch&amp;q=Central+African+Republic+Boali+Falls", "Boali Falls")</f>
        <v>Boali Falls</v>
      </c>
      <c r="F34" t="str">
        <f>HYPERLINK("https://www.google.com/search?tbm=isch&amp;q=Central+African+Republic+Chinko+Nature+Reserve", "Chinko Nature Reserve")</f>
        <v>Chinko Nature Reserve</v>
      </c>
      <c r="G34" t="str">
        <f>HYPERLINK("https://www.google.com/search?tbm=isch&amp;q=Central+African+Republic+Bangui+Rapids", "Bangui Rapids")</f>
        <v>Bangui Rapids</v>
      </c>
    </row>
    <row r="35" spans="1:7" x14ac:dyDescent="0.3">
      <c r="A35" t="s">
        <v>40</v>
      </c>
      <c r="B35" t="s">
        <v>236</v>
      </c>
      <c r="C35" t="str">
        <f>HYPERLINK("https://www.google.com/search?tbm=isch&amp;q=Chad+Zakouma+National+Park", "Zakouma National Park")</f>
        <v>Zakouma National Park</v>
      </c>
      <c r="D35" t="str">
        <f>HYPERLINK("https://www.google.com/search?tbm=isch&amp;q=Chad+Lakes+of+Ounianga", "Lakes of Ounianga")</f>
        <v>Lakes of Ounianga</v>
      </c>
      <c r="E35" t="str">
        <f>HYPERLINK("https://www.google.com/search?tbm=isch&amp;q=Chad+Ennedi+Massif", "Ennedi Massif")</f>
        <v>Ennedi Massif</v>
      </c>
      <c r="F35" t="str">
        <f>HYPERLINK("https://www.google.com/search?tbm=isch&amp;q=Chad+Tibesti+Mountains", "Tibesti Mountains")</f>
        <v>Tibesti Mountains</v>
      </c>
      <c r="G35" t="str">
        <f>HYPERLINK("https://www.google.com/search?tbm=isch&amp;q=Chad+Lake+Chad", "Lake Chad")</f>
        <v>Lake Chad</v>
      </c>
    </row>
    <row r="36" spans="1:7" x14ac:dyDescent="0.3">
      <c r="A36" t="s">
        <v>41</v>
      </c>
      <c r="B36" t="s">
        <v>237</v>
      </c>
      <c r="C36" t="str">
        <f>HYPERLINK("https://www.google.com/search?tbm=isch&amp;q=Chile+Easter+Island+(Rapa+Nui)", "Easter Island (Rapa Nui)")</f>
        <v>Easter Island (Rapa Nui)</v>
      </c>
      <c r="D36" t="str">
        <f>HYPERLINK("https://www.google.com/search?tbm=isch&amp;q=Chile+Torres+del+Paine", "Torres del Paine")</f>
        <v>Torres del Paine</v>
      </c>
      <c r="E36" t="str">
        <f>HYPERLINK("https://www.google.com/search?tbm=isch&amp;q=Chile+San+Pedro+de+Atacama", "San Pedro de Atacama")</f>
        <v>San Pedro de Atacama</v>
      </c>
      <c r="F36" t="str">
        <f>HYPERLINK("https://www.google.com/search?tbm=isch&amp;q=Chile+Valparaíso+Hills", "Valparaíso Hills")</f>
        <v>Valparaíso Hills</v>
      </c>
      <c r="G36" t="str">
        <f>HYPERLINK("https://www.google.com/search?tbm=isch&amp;q=Chile+Chiloé+Churches", "Chiloé Churches")</f>
        <v>Chiloé Churches</v>
      </c>
    </row>
    <row r="37" spans="1:7" x14ac:dyDescent="0.3">
      <c r="A37" t="s">
        <v>42</v>
      </c>
      <c r="B37" t="s">
        <v>238</v>
      </c>
      <c r="C37" t="str">
        <f>HYPERLINK("https://www.google.com/search?tbm=isch&amp;q=China+Great+Wall+of+China", "Great Wall of China")</f>
        <v>Great Wall of China</v>
      </c>
      <c r="D37" t="str">
        <f>HYPERLINK("https://www.google.com/search?tbm=isch&amp;q=China+Forbidden+City", "Forbidden City")</f>
        <v>Forbidden City</v>
      </c>
      <c r="E37" t="str">
        <f>HYPERLINK("https://www.google.com/search?tbm=isch&amp;q=China+Terracotta+Army", "Terracotta Army")</f>
        <v>Terracotta Army</v>
      </c>
      <c r="F37" t="str">
        <f>HYPERLINK("https://www.google.com/search?tbm=isch&amp;q=China+Li+River+Guilin", "Li River Guilin")</f>
        <v>Li River Guilin</v>
      </c>
      <c r="G37" t="str">
        <f>HYPERLINK("https://www.google.com/search?tbm=isch&amp;q=China+Zhangjiajie+National+Forest", "Zhangjiajie National Forest")</f>
        <v>Zhangjiajie National Forest</v>
      </c>
    </row>
    <row r="38" spans="1:7" x14ac:dyDescent="0.3">
      <c r="A38" t="s">
        <v>43</v>
      </c>
      <c r="B38" t="s">
        <v>239</v>
      </c>
      <c r="C38" t="str">
        <f>HYPERLINK("https://www.google.com/search?tbm=isch&amp;q=Colombia+Cartagena+Walled+City", "Cartagena Walled City")</f>
        <v>Cartagena Walled City</v>
      </c>
      <c r="D38" t="str">
        <f>HYPERLINK("https://www.google.com/search?tbm=isch&amp;q=Colombia+Tayrona+National+Park", "Tayrona National Park")</f>
        <v>Tayrona National Park</v>
      </c>
      <c r="E38" t="str">
        <f>HYPERLINK("https://www.google.com/search?tbm=isch&amp;q=Colombia+Salt+Cathedral+of+Zipaquirá", "Salt Cathedral of Zipaquirá")</f>
        <v>Salt Cathedral of Zipaquirá</v>
      </c>
      <c r="F38" t="str">
        <f>HYPERLINK("https://www.google.com/search?tbm=isch&amp;q=Colombia+Coffee+Triangle", "Coffee Triangle")</f>
        <v>Coffee Triangle</v>
      </c>
      <c r="G38" t="str">
        <f>HYPERLINK("https://www.google.com/search?tbm=isch&amp;q=Colombia+Caño+Cristales", "Caño Cristales")</f>
        <v>Caño Cristales</v>
      </c>
    </row>
    <row r="39" spans="1:7" x14ac:dyDescent="0.3">
      <c r="A39" t="s">
        <v>44</v>
      </c>
      <c r="B39" t="s">
        <v>240</v>
      </c>
      <c r="C39" t="str">
        <f>HYPERLINK("https://www.google.com/search?tbm=isch&amp;q=Comoros+Mount+Karthala", "Mount Karthala")</f>
        <v>Mount Karthala</v>
      </c>
      <c r="D39" t="str">
        <f>HYPERLINK("https://www.google.com/search?tbm=isch&amp;q=Comoros+Mohéli+Marine+Park", "Mohéli Marine Park")</f>
        <v>Mohéli Marine Park</v>
      </c>
      <c r="E39" t="str">
        <f>HYPERLINK("https://www.google.com/search?tbm=isch&amp;q=Comoros+Iconi+Mosque", "Iconi Mosque")</f>
        <v>Iconi Mosque</v>
      </c>
      <c r="F39" t="str">
        <f>HYPERLINK("https://www.google.com/search?tbm=isch&amp;q=Comoros+Chindini+Beach", "Chindini Beach")</f>
        <v>Chindini Beach</v>
      </c>
      <c r="G39" t="str">
        <f>HYPERLINK("https://www.google.com/search?tbm=isch&amp;q=Comoros+Mitsamiouli+Beach", "Mitsamiouli Beach")</f>
        <v>Mitsamiouli Beach</v>
      </c>
    </row>
    <row r="40" spans="1:7" x14ac:dyDescent="0.3">
      <c r="A40" t="s">
        <v>45</v>
      </c>
      <c r="B40" t="s">
        <v>241</v>
      </c>
      <c r="C40" t="str">
        <f>HYPERLINK("https://www.google.com/search?tbm=isch&amp;q=Congo+(Congo-Brazzaville)+Odzala-Kokoua+National+Park", "Odzala-Kokoua National Park")</f>
        <v>Odzala-Kokoua National Park</v>
      </c>
      <c r="D40" t="str">
        <f>HYPERLINK("https://www.google.com/search?tbm=isch&amp;q=Congo+(Congo-Brazzaville)+Lesio-Louna+Gorilla+Reserve", "Lesio-Louna Gorilla Reserve")</f>
        <v>Lesio-Louna Gorilla Reserve</v>
      </c>
      <c r="E40" t="str">
        <f>HYPERLINK("https://www.google.com/search?tbm=isch&amp;q=Congo+(Congo-Brazzaville)+Loufoulakari+Falls", "Loufoulakari Falls")</f>
        <v>Loufoulakari Falls</v>
      </c>
      <c r="F40" t="str">
        <f>HYPERLINK("https://www.google.com/search?tbm=isch&amp;q=Congo+(Congo-Brazzaville)+Diosso+Gorge", "Diosso Gorge")</f>
        <v>Diosso Gorge</v>
      </c>
      <c r="G40" t="str">
        <f>HYPERLINK("https://www.google.com/search?tbm=isch&amp;q=Congo+(Congo-Brazzaville)+Conkouati-Douli+Park", "Conkouati-Douli Park")</f>
        <v>Conkouati-Douli Park</v>
      </c>
    </row>
    <row r="41" spans="1:7" x14ac:dyDescent="0.3">
      <c r="A41" t="s">
        <v>46</v>
      </c>
      <c r="B41" t="s">
        <v>242</v>
      </c>
      <c r="C41" t="str">
        <f>HYPERLINK("https://www.google.com/search?tbm=isch&amp;q=Democratic+Republic+of+the+Congo+Virunga+National+Park", "Virunga National Park")</f>
        <v>Virunga National Park</v>
      </c>
      <c r="D41" t="str">
        <f>HYPERLINK("https://www.google.com/search?tbm=isch&amp;q=Democratic+Republic+of+the+Congo+Mount+Nyiragongo", "Mount Nyiragongo")</f>
        <v>Mount Nyiragongo</v>
      </c>
      <c r="E41" t="str">
        <f>HYPERLINK("https://www.google.com/search?tbm=isch&amp;q=Democratic+Republic+of+the+Congo+Garamba+National+Park", "Garamba National Park")</f>
        <v>Garamba National Park</v>
      </c>
      <c r="F41" t="str">
        <f>HYPERLINK("https://www.google.com/search?tbm=isch&amp;q=Democratic+Republic+of+the+Congo+Lola+ya+Bonobo", "Lola ya Bonobo")</f>
        <v>Lola ya Bonobo</v>
      </c>
      <c r="G41" t="str">
        <f>HYPERLINK("https://www.google.com/search?tbm=isch&amp;q=Democratic+Republic+of+the+Congo+Kahuzi-Biega+National+Park", "Kahuzi-Biega National Park")</f>
        <v>Kahuzi-Biega National Park</v>
      </c>
    </row>
    <row r="42" spans="1:7" x14ac:dyDescent="0.3">
      <c r="A42" t="s">
        <v>47</v>
      </c>
      <c r="B42" t="s">
        <v>243</v>
      </c>
      <c r="C42" t="str">
        <f>HYPERLINK("https://www.google.com/search?tbm=isch&amp;q=Costa+Rica+Arenal+Volcano", "Arenal Volcano")</f>
        <v>Arenal Volcano</v>
      </c>
      <c r="D42" t="str">
        <f>HYPERLINK("https://www.google.com/search?tbm=isch&amp;q=Costa+Rica+Manuel+Antonio+National+Park", "Manuel Antonio National Park")</f>
        <v>Manuel Antonio National Park</v>
      </c>
      <c r="E42" t="str">
        <f>HYPERLINK("https://www.google.com/search?tbm=isch&amp;q=Costa+Rica+Monteverde+Cloud+Forest", "Monteverde Cloud Forest")</f>
        <v>Monteverde Cloud Forest</v>
      </c>
      <c r="F42" t="str">
        <f>HYPERLINK("https://www.google.com/search?tbm=isch&amp;q=Costa+Rica+Tortuguero+National+Park", "Tortuguero National Park")</f>
        <v>Tortuguero National Park</v>
      </c>
      <c r="G42" t="str">
        <f>HYPERLINK("https://www.google.com/search?tbm=isch&amp;q=Costa+Rica+Corcovado+National+Park", "Corcovado National Park")</f>
        <v>Corcovado National Park</v>
      </c>
    </row>
    <row r="43" spans="1:7" x14ac:dyDescent="0.3">
      <c r="A43" t="s">
        <v>48</v>
      </c>
      <c r="B43" t="s">
        <v>244</v>
      </c>
      <c r="C43" t="str">
        <f>HYPERLINK("https://www.google.com/search?tbm=isch&amp;q=Croatia+Plitvice+Lakes+National+Park", "Plitvice Lakes National Park")</f>
        <v>Plitvice Lakes National Park</v>
      </c>
      <c r="D43" t="str">
        <f>HYPERLINK("https://www.google.com/search?tbm=isch&amp;q=Croatia+Dubrovnik+Old+Town+Walls", "Dubrovnik Old Town Walls")</f>
        <v>Dubrovnik Old Town Walls</v>
      </c>
      <c r="E43" t="str">
        <f>HYPERLINK("https://www.google.com/search?tbm=isch&amp;q=Croatia+Diocletian's+Palace", "Diocletian's Palace")</f>
        <v>Diocletian's Palace</v>
      </c>
      <c r="F43" t="str">
        <f>HYPERLINK("https://www.google.com/search?tbm=isch&amp;q=Croatia+Hvar+Island", "Hvar Island")</f>
        <v>Hvar Island</v>
      </c>
      <c r="G43" t="str">
        <f>HYPERLINK("https://www.google.com/search?tbm=isch&amp;q=Croatia+Pula+Amphitheatre", "Pula Amphitheatre")</f>
        <v>Pula Amphitheatre</v>
      </c>
    </row>
    <row r="44" spans="1:7" x14ac:dyDescent="0.3">
      <c r="A44" t="s">
        <v>49</v>
      </c>
      <c r="B44" t="s">
        <v>245</v>
      </c>
      <c r="C44" t="str">
        <f>HYPERLINK("https://www.google.com/search?tbm=isch&amp;q=Cuba+Old+Havana", "Old Havana")</f>
        <v>Old Havana</v>
      </c>
      <c r="D44" t="str">
        <f>HYPERLINK("https://www.google.com/search?tbm=isch&amp;q=Cuba+Viñales+Valley", "Viñales Valley")</f>
        <v>Viñales Valley</v>
      </c>
      <c r="E44" t="str">
        <f>HYPERLINK("https://www.google.com/search?tbm=isch&amp;q=Cuba+Varadero+Beach", "Varadero Beach")</f>
        <v>Varadero Beach</v>
      </c>
      <c r="F44" t="str">
        <f>HYPERLINK("https://www.google.com/search?tbm=isch&amp;q=Cuba+Trinidad+City", "Trinidad City")</f>
        <v>Trinidad City</v>
      </c>
      <c r="G44" t="str">
        <f>HYPERLINK("https://www.google.com/search?tbm=isch&amp;q=Cuba+Castillo+de+San+Pedro+de+la+Roca", "Castillo de San Pedro de la Roca")</f>
        <v>Castillo de San Pedro de la Roca</v>
      </c>
    </row>
    <row r="45" spans="1:7" x14ac:dyDescent="0.3">
      <c r="A45" t="s">
        <v>50</v>
      </c>
      <c r="B45" t="s">
        <v>246</v>
      </c>
      <c r="C45" t="str">
        <f>HYPERLINK("https://www.google.com/search?tbm=isch&amp;q=Cyprus+Tombs+of+the+Kings", "Tombs of the Kings")</f>
        <v>Tombs of the Kings</v>
      </c>
      <c r="D45" t="str">
        <f>HYPERLINK("https://www.google.com/search?tbm=isch&amp;q=Cyprus+Aphrodite's+Rock", "Aphrodite's Rock")</f>
        <v>Aphrodite's Rock</v>
      </c>
      <c r="E45" t="str">
        <f>HYPERLINK("https://www.google.com/search?tbm=isch&amp;q=Cyprus+Nissi+Beach", "Nissi Beach")</f>
        <v>Nissi Beach</v>
      </c>
      <c r="F45" t="str">
        <f>HYPERLINK("https://www.google.com/search?tbm=isch&amp;q=Cyprus+Kykkos+Monastery", "Kykkos Monastery")</f>
        <v>Kykkos Monastery</v>
      </c>
      <c r="G45" t="str">
        <f>HYPERLINK("https://www.google.com/search?tbm=isch&amp;q=Cyprus+Kourion+Archaeological+Site", "Kourion Archaeological Site")</f>
        <v>Kourion Archaeological Site</v>
      </c>
    </row>
    <row r="46" spans="1:7" x14ac:dyDescent="0.3">
      <c r="A46" t="s">
        <v>51</v>
      </c>
      <c r="B46" t="s">
        <v>247</v>
      </c>
      <c r="C46" t="str">
        <f>HYPERLINK("https://www.google.com/search?tbm=isch&amp;q=Czechia+(Czech+Republic)+Charles+Bridge", "Charles Bridge")</f>
        <v>Charles Bridge</v>
      </c>
      <c r="D46" t="str">
        <f>HYPERLINK("https://www.google.com/search?tbm=isch&amp;q=Czechia+(Czech+Republic)+Prague+Castle", "Prague Castle")</f>
        <v>Prague Castle</v>
      </c>
      <c r="E46" t="str">
        <f>HYPERLINK("https://www.google.com/search?tbm=isch&amp;q=Czechia+(Czech+Republic)+Old+Town+Square+Prague", "Old Town Square Prague")</f>
        <v>Old Town Square Prague</v>
      </c>
      <c r="F46" t="str">
        <f>HYPERLINK("https://www.google.com/search?tbm=isch&amp;q=Czechia+(Czech+Republic)+Český+Krumlov+Castle", "Český Krumlov Castle")</f>
        <v>Český Krumlov Castle</v>
      </c>
      <c r="G46" t="str">
        <f>HYPERLINK("https://www.google.com/search?tbm=isch&amp;q=Czechia+(Czech+Republic)+Karlštejn+Castle", "Karlštejn Castle")</f>
        <v>Karlštejn Castle</v>
      </c>
    </row>
    <row r="47" spans="1:7" x14ac:dyDescent="0.3">
      <c r="A47" t="s">
        <v>52</v>
      </c>
      <c r="B47" t="s">
        <v>248</v>
      </c>
      <c r="C47" t="str">
        <f>HYPERLINK("https://www.google.com/search?tbm=isch&amp;q=Denmark+Tivoli+Gardens", "Tivoli Gardens")</f>
        <v>Tivoli Gardens</v>
      </c>
      <c r="D47" t="str">
        <f>HYPERLINK("https://www.google.com/search?tbm=isch&amp;q=Denmark+The+Little+Mermaid", "The Little Mermaid")</f>
        <v>The Little Mermaid</v>
      </c>
      <c r="E47" t="str">
        <f>HYPERLINK("https://www.google.com/search?tbm=isch&amp;q=Denmark+Nyhavn", "Nyhavn")</f>
        <v>Nyhavn</v>
      </c>
      <c r="F47" t="str">
        <f>HYPERLINK("https://www.google.com/search?tbm=isch&amp;q=Denmark+Kronborg+Castle", "Kronborg Castle")</f>
        <v>Kronborg Castle</v>
      </c>
      <c r="G47" t="str">
        <f>HYPERLINK("https://www.google.com/search?tbm=isch&amp;q=Denmark+Legoland+Billund", "Legoland Billund")</f>
        <v>Legoland Billund</v>
      </c>
    </row>
    <row r="48" spans="1:7" x14ac:dyDescent="0.3">
      <c r="A48" t="s">
        <v>53</v>
      </c>
      <c r="B48" t="s">
        <v>249</v>
      </c>
      <c r="C48" t="str">
        <f>HYPERLINK("https://www.google.com/search?tbm=isch&amp;q=Djibouti+Lake+Assal", "Lake Assal")</f>
        <v>Lake Assal</v>
      </c>
      <c r="D48" t="str">
        <f>HYPERLINK("https://www.google.com/search?tbm=isch&amp;q=Djibouti+Lake+Abbe", "Lake Abbe")</f>
        <v>Lake Abbe</v>
      </c>
      <c r="E48" t="str">
        <f>HYPERLINK("https://www.google.com/search?tbm=isch&amp;q=Djibouti+Day+Forest+National+Park", "Day Forest National Park")</f>
        <v>Day Forest National Park</v>
      </c>
      <c r="F48" t="str">
        <f>HYPERLINK("https://www.google.com/search?tbm=isch&amp;q=Djibouti+Moucha+Island", "Moucha Island")</f>
        <v>Moucha Island</v>
      </c>
      <c r="G48" t="str">
        <f>HYPERLINK("https://www.google.com/search?tbm=isch&amp;q=Djibouti+Gulf+of+Tadjoura", "Gulf of Tadjoura")</f>
        <v>Gulf of Tadjoura</v>
      </c>
    </row>
    <row r="49" spans="1:7" x14ac:dyDescent="0.3">
      <c r="A49" t="s">
        <v>54</v>
      </c>
      <c r="B49" t="s">
        <v>250</v>
      </c>
      <c r="C49" t="str">
        <f>HYPERLINK("https://www.google.com/search?tbm=isch&amp;q=Dominica+Boiling+Lake", "Boiling Lake")</f>
        <v>Boiling Lake</v>
      </c>
      <c r="D49" t="str">
        <f>HYPERLINK("https://www.google.com/search?tbm=isch&amp;q=Dominica+Morne+Trois+Pitons", "Morne Trois Pitons")</f>
        <v>Morne Trois Pitons</v>
      </c>
      <c r="E49" t="str">
        <f>HYPERLINK("https://www.google.com/search?tbm=isch&amp;q=Dominica+Trafalgar+Falls", "Trafalgar Falls")</f>
        <v>Trafalgar Falls</v>
      </c>
      <c r="F49" t="str">
        <f>HYPERLINK("https://www.google.com/search?tbm=isch&amp;q=Dominica+Champagne+Reef", "Champagne Reef")</f>
        <v>Champagne Reef</v>
      </c>
      <c r="G49" t="str">
        <f>HYPERLINK("https://www.google.com/search?tbm=isch&amp;q=Dominica+Emerald+Pool", "Emerald Pool")</f>
        <v>Emerald Pool</v>
      </c>
    </row>
    <row r="50" spans="1:7" x14ac:dyDescent="0.3">
      <c r="A50" t="s">
        <v>55</v>
      </c>
      <c r="B50" t="s">
        <v>251</v>
      </c>
      <c r="C50" t="str">
        <f>HYPERLINK("https://www.google.com/search?tbm=isch&amp;q=Dominican+Republic+Zona+Colonial+Santo+Domingo", "Zona Colonial Santo Domingo")</f>
        <v>Zona Colonial Santo Domingo</v>
      </c>
      <c r="D50" t="str">
        <f>HYPERLINK("https://www.google.com/search?tbm=isch&amp;q=Dominican+Republic+Punta+Cana+Beaches", "Punta Cana Beaches")</f>
        <v>Punta Cana Beaches</v>
      </c>
      <c r="E50" t="str">
        <f>HYPERLINK("https://www.google.com/search?tbm=isch&amp;q=Dominican+Republic+Damajagua+Waterfalls", "Damajagua Waterfalls")</f>
        <v>Damajagua Waterfalls</v>
      </c>
      <c r="F50" t="str">
        <f>HYPERLINK("https://www.google.com/search?tbm=isch&amp;q=Dominican+Republic+Saona+Island", "Saona Island")</f>
        <v>Saona Island</v>
      </c>
      <c r="G50" t="str">
        <f>HYPERLINK("https://www.google.com/search?tbm=isch&amp;q=Dominican+Republic+Bahia+de+las+Aguilas", "Bahia de las Aguilas")</f>
        <v>Bahia de las Aguilas</v>
      </c>
    </row>
    <row r="51" spans="1:7" x14ac:dyDescent="0.3">
      <c r="A51" t="s">
        <v>56</v>
      </c>
      <c r="B51" t="s">
        <v>252</v>
      </c>
      <c r="C51" t="str">
        <f>HYPERLINK("https://www.google.com/search?tbm=isch&amp;q=Ecuador+Galapagos+Islands", "Galapagos Islands")</f>
        <v>Galapagos Islands</v>
      </c>
      <c r="D51" t="str">
        <f>HYPERLINK("https://www.google.com/search?tbm=isch&amp;q=Ecuador+Quito+Old+Town", "Quito Old Town")</f>
        <v>Quito Old Town</v>
      </c>
      <c r="E51" t="str">
        <f>HYPERLINK("https://www.google.com/search?tbm=isch&amp;q=Ecuador+Cotopaxi+Volcano", "Cotopaxi Volcano")</f>
        <v>Cotopaxi Volcano</v>
      </c>
      <c r="F51" t="str">
        <f>HYPERLINK("https://www.google.com/search?tbm=isch&amp;q=Ecuador+Cajas+National+Park", "Cajas National Park")</f>
        <v>Cajas National Park</v>
      </c>
      <c r="G51" t="str">
        <f>HYPERLINK("https://www.google.com/search?tbm=isch&amp;q=Ecuador+Baños+de+Agua+Santa", "Baños de Agua Santa")</f>
        <v>Baños de Agua Santa</v>
      </c>
    </row>
    <row r="52" spans="1:7" x14ac:dyDescent="0.3">
      <c r="A52" t="s">
        <v>57</v>
      </c>
      <c r="B52" t="s">
        <v>253</v>
      </c>
      <c r="C52" t="str">
        <f>HYPERLINK("https://www.google.com/search?tbm=isch&amp;q=Egypt+Pyramids+of+Giza", "Pyramids of Giza")</f>
        <v>Pyramids of Giza</v>
      </c>
      <c r="D52" t="str">
        <f>HYPERLINK("https://www.google.com/search?tbm=isch&amp;q=Egypt+Karnak+Temple", "Karnak Temple")</f>
        <v>Karnak Temple</v>
      </c>
      <c r="E52" t="str">
        <f>HYPERLINK("https://www.google.com/search?tbm=isch&amp;q=Egypt+Valley+of+the+Kings", "Valley of the Kings")</f>
        <v>Valley of the Kings</v>
      </c>
      <c r="F52" t="str">
        <f>HYPERLINK("https://www.google.com/search?tbm=isch&amp;q=Egypt+Abu+Simbel+Temples", "Abu Simbel Temples")</f>
        <v>Abu Simbel Temples</v>
      </c>
      <c r="G52" t="str">
        <f>HYPERLINK("https://www.google.com/search?tbm=isch&amp;q=Egypt+Egyptian+Museum", "Egyptian Museum")</f>
        <v>Egyptian Museum</v>
      </c>
    </row>
    <row r="53" spans="1:7" x14ac:dyDescent="0.3">
      <c r="A53" t="s">
        <v>58</v>
      </c>
      <c r="B53" t="s">
        <v>254</v>
      </c>
      <c r="C53" t="str">
        <f>HYPERLINK("https://www.google.com/search?tbm=isch&amp;q=El+Salvador+Joyas+de+Cerén", "Joyas de Cerén")</f>
        <v>Joyas de Cerén</v>
      </c>
      <c r="D53" t="str">
        <f>HYPERLINK("https://www.google.com/search?tbm=isch&amp;q=El+Salvador+Santa+Ana+Volcano", "Santa Ana Volcano")</f>
        <v>Santa Ana Volcano</v>
      </c>
      <c r="E53" t="str">
        <f>HYPERLINK("https://www.google.com/search?tbm=isch&amp;q=El+Salvador+Ruta+de+las+Flores", "Ruta de las Flores")</f>
        <v>Ruta de las Flores</v>
      </c>
      <c r="F53" t="str">
        <f>HYPERLINK("https://www.google.com/search?tbm=isch&amp;q=El+Salvador+Coatepeque+Lake", "Coatepeque Lake")</f>
        <v>Coatepeque Lake</v>
      </c>
      <c r="G53" t="str">
        <f>HYPERLINK("https://www.google.com/search?tbm=isch&amp;q=El+Salvador+El+Tunco+Beach", "El Tunco Beach")</f>
        <v>El Tunco Beach</v>
      </c>
    </row>
    <row r="54" spans="1:7" x14ac:dyDescent="0.3">
      <c r="A54" t="s">
        <v>59</v>
      </c>
      <c r="B54" t="s">
        <v>255</v>
      </c>
      <c r="C54" t="str">
        <f>HYPERLINK("https://www.google.com/search?tbm=isch&amp;q=Equatorial+Guinea+Monte+Alén+National+Park", "Monte Alén National Park")</f>
        <v>Monte Alén National Park</v>
      </c>
      <c r="D54" t="str">
        <f>HYPERLINK("https://www.google.com/search?tbm=isch&amp;q=Equatorial+Guinea+Malabo+National+Park", "Malabo National Park")</f>
        <v>Malabo National Park</v>
      </c>
      <c r="E54" t="str">
        <f>HYPERLINK("https://www.google.com/search?tbm=isch&amp;q=Equatorial+Guinea+Pico+Basile", "Pico Basile")</f>
        <v>Pico Basile</v>
      </c>
      <c r="F54" t="str">
        <f>HYPERLINK("https://www.google.com/search?tbm=isch&amp;q=Equatorial+Guinea+Moca+Valley", "Moca Valley")</f>
        <v>Moca Valley</v>
      </c>
      <c r="G54" t="str">
        <f>HYPERLINK("https://www.google.com/search?tbm=isch&amp;q=Equatorial+Guinea+Corisco+Island", "Corisco Island")</f>
        <v>Corisco Island</v>
      </c>
    </row>
    <row r="55" spans="1:7" x14ac:dyDescent="0.3">
      <c r="A55" t="s">
        <v>60</v>
      </c>
      <c r="B55" t="s">
        <v>256</v>
      </c>
      <c r="C55" t="str">
        <f>HYPERLINK("https://www.google.com/search?tbm=isch&amp;q=Eritrea+Asmara+Art+Deco+Architecture", "Asmara Art Deco Architecture")</f>
        <v>Asmara Art Deco Architecture</v>
      </c>
      <c r="D55" t="str">
        <f>HYPERLINK("https://www.google.com/search?tbm=isch&amp;q=Eritrea+Dahlak+Marine+National+Park", "Dahlak Marine National Park")</f>
        <v>Dahlak Marine National Park</v>
      </c>
      <c r="E55" t="str">
        <f>HYPERLINK("https://www.google.com/search?tbm=isch&amp;q=Eritrea+Imperial+Palace+Massawa", "Imperial Palace Massawa")</f>
        <v>Imperial Palace Massawa</v>
      </c>
      <c r="F55" t="str">
        <f>HYPERLINK("https://www.google.com/search?tbm=isch&amp;q=Eritrea+Qohaito+Ruins", "Qohaito Ruins")</f>
        <v>Qohaito Ruins</v>
      </c>
      <c r="G55" t="str">
        <f>HYPERLINK("https://www.google.com/search?tbm=isch&amp;q=Eritrea+Filfil+Rainforest", "Filfil Rainforest")</f>
        <v>Filfil Rainforest</v>
      </c>
    </row>
    <row r="56" spans="1:7" x14ac:dyDescent="0.3">
      <c r="A56" t="s">
        <v>61</v>
      </c>
      <c r="B56" t="s">
        <v>257</v>
      </c>
      <c r="C56" t="str">
        <f>HYPERLINK("https://www.google.com/search?tbm=isch&amp;q=Estonia+Tallinn+Old+Town", "Tallinn Old Town")</f>
        <v>Tallinn Old Town</v>
      </c>
      <c r="D56" t="str">
        <f>HYPERLINK("https://www.google.com/search?tbm=isch&amp;q=Estonia+Lahemaa+National+Park", "Lahemaa National Park")</f>
        <v>Lahemaa National Park</v>
      </c>
      <c r="E56" t="str">
        <f>HYPERLINK("https://www.google.com/search?tbm=isch&amp;q=Estonia+Saaremaa+Island", "Saaremaa Island")</f>
        <v>Saaremaa Island</v>
      </c>
      <c r="F56" t="str">
        <f>HYPERLINK("https://www.google.com/search?tbm=isch&amp;q=Estonia+Pärnu+Beach", "Pärnu Beach")</f>
        <v>Pärnu Beach</v>
      </c>
      <c r="G56" t="str">
        <f>HYPERLINK("https://www.google.com/search?tbm=isch&amp;q=Estonia+Kadriorg+Palace", "Kadriorg Palace")</f>
        <v>Kadriorg Palace</v>
      </c>
    </row>
    <row r="57" spans="1:7" x14ac:dyDescent="0.3">
      <c r="A57" t="s">
        <v>62</v>
      </c>
      <c r="B57" t="s">
        <v>258</v>
      </c>
      <c r="C57" t="str">
        <f>HYPERLINK("https://www.google.com/search?tbm=isch&amp;q=Eswatini+(Swaziland)+Mlilwane+Wildlife+Sanctuary", "Mlilwane Wildlife Sanctuary")</f>
        <v>Mlilwane Wildlife Sanctuary</v>
      </c>
      <c r="D57" t="str">
        <f>HYPERLINK("https://www.google.com/search?tbm=isch&amp;q=Eswatini+(Swaziland)+Hlane+Royal+National+Park", "Hlane Royal National Park")</f>
        <v>Hlane Royal National Park</v>
      </c>
      <c r="E57" t="str">
        <f>HYPERLINK("https://www.google.com/search?tbm=isch&amp;q=Eswatini+(Swaziland)+Mantenga+Cultural+Village", "Mantenga Cultural Village")</f>
        <v>Mantenga Cultural Village</v>
      </c>
      <c r="F57" t="str">
        <f>HYPERLINK("https://www.google.com/search?tbm=isch&amp;q=Eswatini+(Swaziland)+Malolotja+Nature+Reserve", "Malolotja Nature Reserve")</f>
        <v>Malolotja Nature Reserve</v>
      </c>
      <c r="G57" t="str">
        <f>HYPERLINK("https://www.google.com/search?tbm=isch&amp;q=Eswatini+(Swaziland)+Phophonyane+Falls", "Phophonyane Falls")</f>
        <v>Phophonyane Falls</v>
      </c>
    </row>
    <row r="58" spans="1:7" x14ac:dyDescent="0.3">
      <c r="A58" t="s">
        <v>63</v>
      </c>
      <c r="B58" t="s">
        <v>259</v>
      </c>
      <c r="C58" t="str">
        <f>HYPERLINK("https://www.google.com/search?tbm=isch&amp;q=Ethiopia+Rock-Hewn+Churches+of+Lalibela", "Rock-Hewn Churches of Lalibela")</f>
        <v>Rock-Hewn Churches of Lalibela</v>
      </c>
      <c r="D58" t="str">
        <f>HYPERLINK("https://www.google.com/search?tbm=isch&amp;q=Ethiopia+Simien+Mountains", "Simien Mountains")</f>
        <v>Simien Mountains</v>
      </c>
      <c r="E58" t="str">
        <f>HYPERLINK("https://www.google.com/search?tbm=isch&amp;q=Ethiopia+Fasil+Ghebbi+(Gondar)", "Fasil Ghebbi (Gondar)")</f>
        <v>Fasil Ghebbi (Gondar)</v>
      </c>
      <c r="F58" t="str">
        <f>HYPERLINK("https://www.google.com/search?tbm=isch&amp;q=Ethiopia+Danakil+Depression", "Danakil Depression")</f>
        <v>Danakil Depression</v>
      </c>
      <c r="G58" t="str">
        <f>HYPERLINK("https://www.google.com/search?tbm=isch&amp;q=Ethiopia+Axum+Obelisks", "Axum Obelisks")</f>
        <v>Axum Obelisks</v>
      </c>
    </row>
    <row r="59" spans="1:7" x14ac:dyDescent="0.3">
      <c r="A59" t="s">
        <v>64</v>
      </c>
      <c r="B59" t="s">
        <v>260</v>
      </c>
      <c r="C59" t="str">
        <f>HYPERLINK("https://www.google.com/search?tbm=isch&amp;q=Fiji+Mamanuca+Islands", "Mamanuca Islands")</f>
        <v>Mamanuca Islands</v>
      </c>
      <c r="D59" t="str">
        <f>HYPERLINK("https://www.google.com/search?tbm=isch&amp;q=Fiji+Yasawa+Islands", "Yasawa Islands")</f>
        <v>Yasawa Islands</v>
      </c>
      <c r="E59" t="str">
        <f>HYPERLINK("https://www.google.com/search?tbm=isch&amp;q=Fiji+Bouma+National+Heritage+Park", "Bouma National Heritage Park")</f>
        <v>Bouma National Heritage Park</v>
      </c>
      <c r="F59" t="str">
        <f>HYPERLINK("https://www.google.com/search?tbm=isch&amp;q=Fiji+Sri+Siva+Subramaniya+Temple", "Sri Siva Subramaniya Temple")</f>
        <v>Sri Siva Subramaniya Temple</v>
      </c>
      <c r="G59" t="str">
        <f>HYPERLINK("https://www.google.com/search?tbm=isch&amp;q=Fiji+Sigatoka+Sand+Dunes", "Sigatoka Sand Dunes")</f>
        <v>Sigatoka Sand Dunes</v>
      </c>
    </row>
    <row r="60" spans="1:7" x14ac:dyDescent="0.3">
      <c r="A60" t="s">
        <v>65</v>
      </c>
      <c r="B60" t="s">
        <v>261</v>
      </c>
      <c r="C60" t="str">
        <f>HYPERLINK("https://www.google.com/search?tbm=isch&amp;q=Finland+Suomenlinna+Fortress", "Suomenlinna Fortress")</f>
        <v>Suomenlinna Fortress</v>
      </c>
      <c r="D60" t="str">
        <f>HYPERLINK("https://www.google.com/search?tbm=isch&amp;q=Finland+Santa+Claus+Village", "Santa Claus Village")</f>
        <v>Santa Claus Village</v>
      </c>
      <c r="E60" t="str">
        <f>HYPERLINK("https://www.google.com/search?tbm=isch&amp;q=Finland+Nuuksio+National+Park", "Nuuksio National Park")</f>
        <v>Nuuksio National Park</v>
      </c>
      <c r="F60" t="str">
        <f>HYPERLINK("https://www.google.com/search?tbm=isch&amp;q=Finland+Helsinki+Cathedral", "Helsinki Cathedral")</f>
        <v>Helsinki Cathedral</v>
      </c>
      <c r="G60" t="str">
        <f>HYPERLINK("https://www.google.com/search?tbm=isch&amp;q=Finland+Northern+Lights+Lapland", "Northern Lights Lapland")</f>
        <v>Northern Lights Lapland</v>
      </c>
    </row>
    <row r="61" spans="1:7" x14ac:dyDescent="0.3">
      <c r="A61" t="s">
        <v>66</v>
      </c>
      <c r="B61" t="s">
        <v>262</v>
      </c>
      <c r="C61" t="str">
        <f>HYPERLINK("https://www.google.com/search?tbm=isch&amp;q=France+Eiffel+Tower", "Eiffel Tower")</f>
        <v>Eiffel Tower</v>
      </c>
      <c r="D61" t="str">
        <f>HYPERLINK("https://www.google.com/search?tbm=isch&amp;q=France+Louvre+Museum", "Louvre Museum")</f>
        <v>Louvre Museum</v>
      </c>
      <c r="E61" t="str">
        <f>HYPERLINK("https://www.google.com/search?tbm=isch&amp;q=France+Palace+of+Versailles", "Palace of Versailles")</f>
        <v>Palace of Versailles</v>
      </c>
      <c r="F61" t="str">
        <f>HYPERLINK("https://www.google.com/search?tbm=isch&amp;q=France+Mont+Saint-Michel", "Mont Saint-Michel")</f>
        <v>Mont Saint-Michel</v>
      </c>
      <c r="G61" t="str">
        <f>HYPERLINK("https://www.google.com/search?tbm=isch&amp;q=France+French+Riviera", "French Riviera")</f>
        <v>French Riviera</v>
      </c>
    </row>
    <row r="62" spans="1:7" x14ac:dyDescent="0.3">
      <c r="A62" t="s">
        <v>67</v>
      </c>
      <c r="B62" t="s">
        <v>263</v>
      </c>
      <c r="C62" t="str">
        <f>HYPERLINK("https://www.google.com/search?tbm=isch&amp;q=Gabon+Loango+National+Park", "Loango National Park")</f>
        <v>Loango National Park</v>
      </c>
      <c r="D62" t="str">
        <f>HYPERLINK("https://www.google.com/search?tbm=isch&amp;q=Gabon+Ivindo+National+Park", "Ivindo National Park")</f>
        <v>Ivindo National Park</v>
      </c>
      <c r="E62" t="str">
        <f>HYPERLINK("https://www.google.com/search?tbm=isch&amp;q=Gabon+Lopé+National+Park", "Lopé National Park")</f>
        <v>Lopé National Park</v>
      </c>
      <c r="F62" t="str">
        <f>HYPERLINK("https://www.google.com/search?tbm=isch&amp;q=Gabon+Pongara+National+Park", "Pongara National Park")</f>
        <v>Pongara National Park</v>
      </c>
      <c r="G62" t="str">
        <f>HYPERLINK("https://www.google.com/search?tbm=isch&amp;q=Gabon+Lékédi+Park", "Lékédi Park")</f>
        <v>Lékédi Park</v>
      </c>
    </row>
    <row r="63" spans="1:7" x14ac:dyDescent="0.3">
      <c r="A63" t="s">
        <v>68</v>
      </c>
      <c r="B63" t="s">
        <v>264</v>
      </c>
      <c r="C63" t="str">
        <f>HYPERLINK("https://www.google.com/search?tbm=isch&amp;q=Gambia+Kunta+Kinteh+Island", "Kunta Kinteh Island")</f>
        <v>Kunta Kinteh Island</v>
      </c>
      <c r="D63" t="str">
        <f>HYPERLINK("https://www.google.com/search?tbm=isch&amp;q=Gambia+Bijilo+Forest+Park", "Bijilo Forest Park")</f>
        <v>Bijilo Forest Park</v>
      </c>
      <c r="E63" t="str">
        <f>HYPERLINK("https://www.google.com/search?tbm=isch&amp;q=Gambia+Kachikly+Crocodile+Pool", "Kachikly Crocodile Pool")</f>
        <v>Kachikly Crocodile Pool</v>
      </c>
      <c r="F63" t="str">
        <f>HYPERLINK("https://www.google.com/search?tbm=isch&amp;q=Gambia+Wassu+Stone+Circles", "Wassu Stone Circles")</f>
        <v>Wassu Stone Circles</v>
      </c>
      <c r="G63" t="str">
        <f>HYPERLINK("https://www.google.com/search?tbm=isch&amp;q=Gambia+Abuko+Nature+Reserve", "Abuko Nature Reserve")</f>
        <v>Abuko Nature Reserve</v>
      </c>
    </row>
    <row r="64" spans="1:7" x14ac:dyDescent="0.3">
      <c r="A64" t="s">
        <v>69</v>
      </c>
      <c r="B64" t="s">
        <v>265</v>
      </c>
      <c r="C64" t="str">
        <f>HYPERLINK("https://www.google.com/search?tbm=isch&amp;q=Georgia+Old+Tbilisi", "Old Tbilisi")</f>
        <v>Old Tbilisi</v>
      </c>
      <c r="D64" t="str">
        <f>HYPERLINK("https://www.google.com/search?tbm=isch&amp;q=Georgia+Gergeti+Trinity+Church", "Gergeti Trinity Church")</f>
        <v>Gergeti Trinity Church</v>
      </c>
      <c r="E64" t="str">
        <f>HYPERLINK("https://www.google.com/search?tbm=isch&amp;q=Georgia+Vardzia+Cave+Monastery", "Vardzia Cave Monastery")</f>
        <v>Vardzia Cave Monastery</v>
      </c>
      <c r="F64" t="str">
        <f>HYPERLINK("https://www.google.com/search?tbm=isch&amp;q=Georgia+Uplistsikhe", "Uplistsikhe")</f>
        <v>Uplistsikhe</v>
      </c>
      <c r="G64" t="str">
        <f>HYPERLINK("https://www.google.com/search?tbm=isch&amp;q=Georgia+Svaneti+Towers", "Svaneti Towers")</f>
        <v>Svaneti Towers</v>
      </c>
    </row>
    <row r="65" spans="1:7" x14ac:dyDescent="0.3">
      <c r="A65" t="s">
        <v>70</v>
      </c>
      <c r="B65" t="s">
        <v>266</v>
      </c>
      <c r="C65" t="str">
        <f>HYPERLINK("https://www.google.com/search?tbm=isch&amp;q=Germany+Neuschwanstein+Castle", "Neuschwanstein Castle")</f>
        <v>Neuschwanstein Castle</v>
      </c>
      <c r="D65" t="str">
        <f>HYPERLINK("https://www.google.com/search?tbm=isch&amp;q=Germany+Brandenburg+Gate", "Brandenburg Gate")</f>
        <v>Brandenburg Gate</v>
      </c>
      <c r="E65" t="str">
        <f>HYPERLINK("https://www.google.com/search?tbm=isch&amp;q=Germany+Cologne+Cathedral", "Cologne Cathedral")</f>
        <v>Cologne Cathedral</v>
      </c>
      <c r="F65" t="str">
        <f>HYPERLINK("https://www.google.com/search?tbm=isch&amp;q=Germany+Black+Forest", "Black Forest")</f>
        <v>Black Forest</v>
      </c>
      <c r="G65" t="str">
        <f>HYPERLINK("https://www.google.com/search?tbm=isch&amp;q=Germany+Miniatur+Wunderland", "Miniatur Wunderland")</f>
        <v>Miniatur Wunderland</v>
      </c>
    </row>
    <row r="66" spans="1:7" x14ac:dyDescent="0.3">
      <c r="A66" t="s">
        <v>71</v>
      </c>
      <c r="B66" t="s">
        <v>267</v>
      </c>
      <c r="C66" t="str">
        <f>HYPERLINK("https://www.google.com/search?tbm=isch&amp;q=Ghana+Cape+Coast+Castle", "Cape Coast Castle")</f>
        <v>Cape Coast Castle</v>
      </c>
      <c r="D66" t="str">
        <f>HYPERLINK("https://www.google.com/search?tbm=isch&amp;q=Ghana+Kakum+National+Park", "Kakum National Park")</f>
        <v>Kakum National Park</v>
      </c>
      <c r="E66" t="str">
        <f>HYPERLINK("https://www.google.com/search?tbm=isch&amp;q=Ghana+Elmina+Castle", "Elmina Castle")</f>
        <v>Elmina Castle</v>
      </c>
      <c r="F66" t="str">
        <f>HYPERLINK("https://www.google.com/search?tbm=isch&amp;q=Ghana+Mole+National+Park", "Mole National Park")</f>
        <v>Mole National Park</v>
      </c>
      <c r="G66" t="str">
        <f>HYPERLINK("https://www.google.com/search?tbm=isch&amp;q=Ghana+Wli+Waterfalls", "Wli Waterfalls")</f>
        <v>Wli Waterfalls</v>
      </c>
    </row>
    <row r="67" spans="1:7" x14ac:dyDescent="0.3">
      <c r="A67" t="s">
        <v>72</v>
      </c>
      <c r="B67" t="s">
        <v>268</v>
      </c>
      <c r="C67" t="str">
        <f>HYPERLINK("https://www.google.com/search?tbm=isch&amp;q=Greece+Acropolis+of+Athens", "Acropolis of Athens")</f>
        <v>Acropolis of Athens</v>
      </c>
      <c r="D67" t="str">
        <f>HYPERLINK("https://www.google.com/search?tbm=isch&amp;q=Greece+Santorini+Caldera", "Santorini Caldera")</f>
        <v>Santorini Caldera</v>
      </c>
      <c r="E67" t="str">
        <f>HYPERLINK("https://www.google.com/search?tbm=isch&amp;q=Greece+Meteora+Monasteries", "Meteora Monasteries")</f>
        <v>Meteora Monasteries</v>
      </c>
      <c r="F67" t="str">
        <f>HYPERLINK("https://www.google.com/search?tbm=isch&amp;q=Greece+Delphi+Archaeological+Site", "Delphi Archaeological Site")</f>
        <v>Delphi Archaeological Site</v>
      </c>
      <c r="G67" t="str">
        <f>HYPERLINK("https://www.google.com/search?tbm=isch&amp;q=Greece+Mykonos+Windmills", "Mykonos Windmills")</f>
        <v>Mykonos Windmills</v>
      </c>
    </row>
    <row r="68" spans="1:7" x14ac:dyDescent="0.3">
      <c r="A68" t="s">
        <v>73</v>
      </c>
      <c r="B68" t="s">
        <v>269</v>
      </c>
      <c r="C68" t="str">
        <f>HYPERLINK("https://www.google.com/search?tbm=isch&amp;q=Grenada+Grand+Anse+Beach", "Grand Anse Beach")</f>
        <v>Grand Anse Beach</v>
      </c>
      <c r="D68" t="str">
        <f>HYPERLINK("https://www.google.com/search?tbm=isch&amp;q=Grenada+Underwater+Sculpture+Park", "Underwater Sculpture Park")</f>
        <v>Underwater Sculpture Park</v>
      </c>
      <c r="E68" t="str">
        <f>HYPERLINK("https://www.google.com/search?tbm=isch&amp;q=Grenada+Annandale+Falls", "Annandale Falls")</f>
        <v>Annandale Falls</v>
      </c>
      <c r="F68" t="str">
        <f>HYPERLINK("https://www.google.com/search?tbm=isch&amp;q=Grenada+Fort+George", "Fort George")</f>
        <v>Fort George</v>
      </c>
      <c r="G68" t="str">
        <f>HYPERLINK("https://www.google.com/search?tbm=isch&amp;q=Grenada+Levera+National+Park", "Levera National Park")</f>
        <v>Levera National Park</v>
      </c>
    </row>
    <row r="69" spans="1:7" x14ac:dyDescent="0.3">
      <c r="A69" t="s">
        <v>74</v>
      </c>
      <c r="B69" t="s">
        <v>270</v>
      </c>
      <c r="C69" t="str">
        <f>HYPERLINK("https://www.google.com/search?tbm=isch&amp;q=Guatemala+Tikal+Mayan+Ruins", "Tikal Mayan Ruins")</f>
        <v>Tikal Mayan Ruins</v>
      </c>
      <c r="D69" t="str">
        <f>HYPERLINK("https://www.google.com/search?tbm=isch&amp;q=Guatemala+Lake+Atitlán", "Lake Atitlán")</f>
        <v>Lake Atitlán</v>
      </c>
      <c r="E69" t="str">
        <f>HYPERLINK("https://www.google.com/search?tbm=isch&amp;q=Guatemala+Antigua+Guatemala", "Antigua Guatemala")</f>
        <v>Antigua Guatemala</v>
      </c>
      <c r="F69" t="str">
        <f>HYPERLINK("https://www.google.com/search?tbm=isch&amp;q=Guatemala+Semuc+Champey", "Semuc Champey")</f>
        <v>Semuc Champey</v>
      </c>
      <c r="G69" t="str">
        <f>HYPERLINK("https://www.google.com/search?tbm=isch&amp;q=Guatemala+Chichicastenango+Market", "Chichicastenango Market")</f>
        <v>Chichicastenango Market</v>
      </c>
    </row>
    <row r="70" spans="1:7" x14ac:dyDescent="0.3">
      <c r="A70" t="s">
        <v>75</v>
      </c>
      <c r="B70" t="s">
        <v>271</v>
      </c>
      <c r="C70" t="str">
        <f>HYPERLINK("https://www.google.com/search?tbm=isch&amp;q=Guinea+Fouta+Djallon", "Fouta Djallon")</f>
        <v>Fouta Djallon</v>
      </c>
      <c r="D70" t="str">
        <f>HYPERLINK("https://www.google.com/search?tbm=isch&amp;q=Guinea+Îles+de+Los", "Îles de Los")</f>
        <v>Îles de Los</v>
      </c>
      <c r="E70" t="str">
        <f>HYPERLINK("https://www.google.com/search?tbm=isch&amp;q=Guinea+Mount+Nimba+Strict+Nature+Reserve", "Mount Nimba Strict Nature Reserve")</f>
        <v>Mount Nimba Strict Nature Reserve</v>
      </c>
      <c r="F70" t="str">
        <f>HYPERLINK("https://www.google.com/search?tbm=isch&amp;q=Guinea+Voile+de+la+Mariée", "Voile de la Mariée")</f>
        <v>Voile de la Mariée</v>
      </c>
      <c r="G70" t="str">
        <f>HYPERLINK("https://www.google.com/search?tbm=isch&amp;q=Guinea+Conakry+Grand+Mosque", "Conakry Grand Mosque")</f>
        <v>Conakry Grand Mosque</v>
      </c>
    </row>
    <row r="71" spans="1:7" x14ac:dyDescent="0.3">
      <c r="A71" t="s">
        <v>76</v>
      </c>
      <c r="B71" t="s">
        <v>272</v>
      </c>
      <c r="C71" t="str">
        <f>HYPERLINK("https://www.google.com/search?tbm=isch&amp;q=Guinea-Bissau+Bijagós+Archipelago", "Bijagós Archipelago")</f>
        <v>Bijagós Archipelago</v>
      </c>
      <c r="D71" t="str">
        <f>HYPERLINK("https://www.google.com/search?tbm=isch&amp;q=Guinea-Bissau+Orango+National+Park", "Orango National Park")</f>
        <v>Orango National Park</v>
      </c>
      <c r="E71" t="str">
        <f>HYPERLINK("https://www.google.com/search?tbm=isch&amp;q=Guinea-Bissau+Bubaque+Island", "Bubaque Island")</f>
        <v>Bubaque Island</v>
      </c>
      <c r="F71" t="str">
        <f>HYPERLINK("https://www.google.com/search?tbm=isch&amp;q=Guinea-Bissau+Cacheu+River+Mangroves", "Cacheu River Mangroves")</f>
        <v>Cacheu River Mangroves</v>
      </c>
      <c r="G71" t="str">
        <f>HYPERLINK("https://www.google.com/search?tbm=isch&amp;q=Guinea-Bissau+Saltinho+Waterfalls", "Saltinho Waterfalls")</f>
        <v>Saltinho Waterfalls</v>
      </c>
    </row>
    <row r="72" spans="1:7" x14ac:dyDescent="0.3">
      <c r="A72" t="s">
        <v>77</v>
      </c>
      <c r="B72" t="s">
        <v>273</v>
      </c>
      <c r="C72" t="str">
        <f>HYPERLINK("https://www.google.com/search?tbm=isch&amp;q=Guyana+Kaieteur+Falls", "Kaieteur Falls")</f>
        <v>Kaieteur Falls</v>
      </c>
      <c r="D72" t="str">
        <f>HYPERLINK("https://www.google.com/search?tbm=isch&amp;q=Guyana+Iwokrama+Forest", "Iwokrama Forest")</f>
        <v>Iwokrama Forest</v>
      </c>
      <c r="E72" t="str">
        <f>HYPERLINK("https://www.google.com/search?tbm=isch&amp;q=Guyana+St.+George's+Cathedral", "St. George's Cathedral")</f>
        <v>St. George's Cathedral</v>
      </c>
      <c r="F72" t="str">
        <f>HYPERLINK("https://www.google.com/search?tbm=isch&amp;q=Guyana+Shell+Beach", "Shell Beach")</f>
        <v>Shell Beach</v>
      </c>
      <c r="G72" t="str">
        <f>HYPERLINK("https://www.google.com/search?tbm=isch&amp;q=Guyana+Kanuku+Mountains", "Kanuku Mountains")</f>
        <v>Kanuku Mountains</v>
      </c>
    </row>
    <row r="73" spans="1:7" x14ac:dyDescent="0.3">
      <c r="A73" t="s">
        <v>78</v>
      </c>
      <c r="B73" t="s">
        <v>274</v>
      </c>
      <c r="C73" t="str">
        <f>HYPERLINK("https://www.google.com/search?tbm=isch&amp;q=Haiti+Citadelle+Laferrière", "Citadelle Laferrière")</f>
        <v>Citadelle Laferrière</v>
      </c>
      <c r="D73" t="str">
        <f>HYPERLINK("https://www.google.com/search?tbm=isch&amp;q=Haiti+Sans-Souci+Palace", "Sans-Souci Palace")</f>
        <v>Sans-Souci Palace</v>
      </c>
      <c r="E73" t="str">
        <f>HYPERLINK("https://www.google.com/search?tbm=isch&amp;q=Haiti+Saut-d'Eau+Waterfalls", "Saut-d'Eau Waterfalls")</f>
        <v>Saut-d'Eau Waterfalls</v>
      </c>
      <c r="F73" t="str">
        <f>HYPERLINK("https://www.google.com/search?tbm=isch&amp;q=Haiti+Bassin+Bleu", "Bassin Bleu")</f>
        <v>Bassin Bleu</v>
      </c>
      <c r="G73" t="str">
        <f>HYPERLINK("https://www.google.com/search?tbm=isch&amp;q=Haiti+Labadee+Beach", "Labadee Beach")</f>
        <v>Labadee Beach</v>
      </c>
    </row>
    <row r="74" spans="1:7" x14ac:dyDescent="0.3">
      <c r="A74" t="s">
        <v>79</v>
      </c>
      <c r="B74" t="s">
        <v>275</v>
      </c>
      <c r="C74" t="str">
        <f>HYPERLINK("https://www.google.com/search?tbm=isch&amp;q=Honduras+Copán+Mayan+Ruins", "Copán Mayan Ruins")</f>
        <v>Copán Mayan Ruins</v>
      </c>
      <c r="D74" t="str">
        <f>HYPERLINK("https://www.google.com/search?tbm=isch&amp;q=Honduras+Roatán+Reef", "Roatán Reef")</f>
        <v>Roatán Reef</v>
      </c>
      <c r="E74" t="str">
        <f>HYPERLINK("https://www.google.com/search?tbm=isch&amp;q=Honduras+Utila+Island", "Utila Island")</f>
        <v>Utila Island</v>
      </c>
      <c r="F74" t="str">
        <f>HYPERLINK("https://www.google.com/search?tbm=isch&amp;q=Honduras+Pico+Bonito+National+Park", "Pico Bonito National Park")</f>
        <v>Pico Bonito National Park</v>
      </c>
      <c r="G74" t="str">
        <f>HYPERLINK("https://www.google.com/search?tbm=isch&amp;q=Honduras+Lake+Yojoa", "Lake Yojoa")</f>
        <v>Lake Yojoa</v>
      </c>
    </row>
    <row r="75" spans="1:7" x14ac:dyDescent="0.3">
      <c r="A75" t="s">
        <v>80</v>
      </c>
      <c r="B75" t="s">
        <v>276</v>
      </c>
      <c r="C75" t="str">
        <f>HYPERLINK("https://www.google.com/search?tbm=isch&amp;q=Hungary+Buda+Castle", "Buda Castle")</f>
        <v>Buda Castle</v>
      </c>
      <c r="D75" t="str">
        <f>HYPERLINK("https://www.google.com/search?tbm=isch&amp;q=Hungary+Hungarian+Parliament+Building", "Hungarian Parliament Building")</f>
        <v>Hungarian Parliament Building</v>
      </c>
      <c r="E75" t="str">
        <f>HYPERLINK("https://www.google.com/search?tbm=isch&amp;q=Hungary+Thermal+Baths+of+Budapest", "Thermal Baths of Budapest")</f>
        <v>Thermal Baths of Budapest</v>
      </c>
      <c r="F75" t="str">
        <f>HYPERLINK("https://www.google.com/search?tbm=isch&amp;q=Hungary+Fisherman's+Bastion", "Fisherman's Bastion")</f>
        <v>Fisherman's Bastion</v>
      </c>
      <c r="G75" t="str">
        <f>HYPERLINK("https://www.google.com/search?tbm=isch&amp;q=Hungary+Lake+Balaton", "Lake Balaton")</f>
        <v>Lake Balaton</v>
      </c>
    </row>
    <row r="76" spans="1:7" x14ac:dyDescent="0.3">
      <c r="A76" t="s">
        <v>81</v>
      </c>
      <c r="B76" t="s">
        <v>277</v>
      </c>
      <c r="C76" t="str">
        <f>HYPERLINK("https://www.google.com/search?tbm=isch&amp;q=Iceland+Blue+Lagoon", "Blue Lagoon")</f>
        <v>Blue Lagoon</v>
      </c>
      <c r="D76" t="str">
        <f>HYPERLINK("https://www.google.com/search?tbm=isch&amp;q=Iceland+Gullfoss+Waterfall", "Gullfoss Waterfall")</f>
        <v>Gullfoss Waterfall</v>
      </c>
      <c r="E76" t="str">
        <f>HYPERLINK("https://www.google.com/search?tbm=isch&amp;q=Iceland+Þingvellir+National+Park", "Þingvellir National Park")</f>
        <v>Þingvellir National Park</v>
      </c>
      <c r="F76" t="str">
        <f>HYPERLINK("https://www.google.com/search?tbm=isch&amp;q=Iceland+Jökulsárlón+Glacier+Lagoon", "Jökulsárlón Glacier Lagoon")</f>
        <v>Jökulsárlón Glacier Lagoon</v>
      </c>
      <c r="G76" t="str">
        <f>HYPERLINK("https://www.google.com/search?tbm=isch&amp;q=Iceland+Skógafoss", "Skógafoss")</f>
        <v>Skógafoss</v>
      </c>
    </row>
    <row r="77" spans="1:7" x14ac:dyDescent="0.3">
      <c r="A77" t="s">
        <v>82</v>
      </c>
      <c r="B77" t="s">
        <v>278</v>
      </c>
      <c r="C77" t="str">
        <f>HYPERLINK("https://www.google.com/search?tbm=isch&amp;q=India+Taj+Mahal", "Taj Mahal")</f>
        <v>Taj Mahal</v>
      </c>
      <c r="D77" t="str">
        <f>HYPERLINK("https://www.google.com/search?tbm=isch&amp;q=India+Red+Fort", "Red Fort")</f>
        <v>Red Fort</v>
      </c>
      <c r="E77" t="str">
        <f>HYPERLINK("https://www.google.com/search?tbm=isch&amp;q=India+Hawa+Mahal", "Hawa Mahal")</f>
        <v>Hawa Mahal</v>
      </c>
      <c r="F77" t="str">
        <f>HYPERLINK("https://www.google.com/search?tbm=isch&amp;q=India+Golden+Temple+Amritsar", "Golden Temple Amritsar")</f>
        <v>Golden Temple Amritsar</v>
      </c>
      <c r="G77" t="str">
        <f>HYPERLINK("https://www.google.com/search?tbm=isch&amp;q=India+Kerala+Backwaters", "Kerala Backwaters")</f>
        <v>Kerala Backwaters</v>
      </c>
    </row>
    <row r="78" spans="1:7" x14ac:dyDescent="0.3">
      <c r="A78" t="s">
        <v>83</v>
      </c>
      <c r="B78" t="s">
        <v>279</v>
      </c>
      <c r="C78" t="str">
        <f>HYPERLINK("https://www.google.com/search?tbm=isch&amp;q=Indonesia+Borobudur+Temple", "Borobudur Temple")</f>
        <v>Borobudur Temple</v>
      </c>
      <c r="D78" t="str">
        <f>HYPERLINK("https://www.google.com/search?tbm=isch&amp;q=Indonesia+Komodo+National+Park", "Komodo National Park")</f>
        <v>Komodo National Park</v>
      </c>
      <c r="E78" t="str">
        <f>HYPERLINK("https://www.google.com/search?tbm=isch&amp;q=Indonesia+Ubud+Monkey+Forest", "Ubud Monkey Forest")</f>
        <v>Ubud Monkey Forest</v>
      </c>
      <c r="F78" t="str">
        <f>HYPERLINK("https://www.google.com/search?tbm=isch&amp;q=Indonesia+Mount+Bromo", "Mount Bromo")</f>
        <v>Mount Bromo</v>
      </c>
      <c r="G78" t="str">
        <f>HYPERLINK("https://www.google.com/search?tbm=isch&amp;q=Indonesia+Prambanan+Temple", "Prambanan Temple")</f>
        <v>Prambanan Temple</v>
      </c>
    </row>
    <row r="79" spans="1:7" x14ac:dyDescent="0.3">
      <c r="A79" t="s">
        <v>84</v>
      </c>
      <c r="B79" t="s">
        <v>280</v>
      </c>
      <c r="C79" t="str">
        <f>HYPERLINK("https://www.google.com/search?tbm=isch&amp;q=Iran+Persepolis", "Persepolis")</f>
        <v>Persepolis</v>
      </c>
      <c r="D79" t="str">
        <f>HYPERLINK("https://www.google.com/search?tbm=isch&amp;q=Iran+Naqsh-e+Jahan+Square", "Naqsh-e Jahan Square")</f>
        <v>Naqsh-e Jahan Square</v>
      </c>
      <c r="E79" t="str">
        <f>HYPERLINK("https://www.google.com/search?tbm=isch&amp;q=Iran+Golestan+Palace", "Golestan Palace")</f>
        <v>Golestan Palace</v>
      </c>
      <c r="F79" t="str">
        <f>HYPERLINK("https://www.google.com/search?tbm=isch&amp;q=Iran+Lut+Desert", "Lut Desert")</f>
        <v>Lut Desert</v>
      </c>
      <c r="G79" t="str">
        <f>HYPERLINK("https://www.google.com/search?tbm=isch&amp;q=Iran+Kandovan+Village", "Kandovan Village")</f>
        <v>Kandovan Village</v>
      </c>
    </row>
    <row r="80" spans="1:7" x14ac:dyDescent="0.3">
      <c r="A80" t="s">
        <v>85</v>
      </c>
      <c r="B80" t="s">
        <v>281</v>
      </c>
      <c r="C80" t="str">
        <f>HYPERLINK("https://www.google.com/search?tbm=isch&amp;q=Iraq+Ancient+City+of+Babylon", "Ancient City of Babylon")</f>
        <v>Ancient City of Babylon</v>
      </c>
      <c r="D80" t="str">
        <f>HYPERLINK("https://www.google.com/search?tbm=isch&amp;q=Iraq+Erbil+Citadel", "Erbil Citadel")</f>
        <v>Erbil Citadel</v>
      </c>
      <c r="E80" t="str">
        <f>HYPERLINK("https://www.google.com/search?tbm=isch&amp;q=Iraq+Ziggurat+of+Ur", "Ziggurat of Ur")</f>
        <v>Ziggurat of Ur</v>
      </c>
      <c r="F80" t="str">
        <f>HYPERLINK("https://www.google.com/search?tbm=isch&amp;q=Iraq+Marshlands+of+Mesopotamia", "Marshlands of Mesopotamia")</f>
        <v>Marshlands of Mesopotamia</v>
      </c>
      <c r="G80" t="str">
        <f>HYPERLINK("https://www.google.com/search?tbm=isch&amp;q=Iraq+Great+Mosque+of+Samarra", "Great Mosque of Samarra")</f>
        <v>Great Mosque of Samarra</v>
      </c>
    </row>
    <row r="81" spans="1:7" x14ac:dyDescent="0.3">
      <c r="A81" t="s">
        <v>86</v>
      </c>
      <c r="B81" t="s">
        <v>282</v>
      </c>
      <c r="C81" t="str">
        <f>HYPERLINK("https://www.google.com/search?tbm=isch&amp;q=Ireland+Cliffs+of+Moher", "Cliffs of Moher")</f>
        <v>Cliffs of Moher</v>
      </c>
      <c r="D81" t="str">
        <f>HYPERLINK("https://www.google.com/search?tbm=isch&amp;q=Ireland+Guinness+Storehouse", "Guinness Storehouse")</f>
        <v>Guinness Storehouse</v>
      </c>
      <c r="E81" t="str">
        <f>HYPERLINK("https://www.google.com/search?tbm=isch&amp;q=Ireland+Ring+of+Kerry", "Ring of Kerry")</f>
        <v>Ring of Kerry</v>
      </c>
      <c r="F81" t="str">
        <f>HYPERLINK("https://www.google.com/search?tbm=isch&amp;q=Ireland+Trinity+College+Library", "Trinity College Library")</f>
        <v>Trinity College Library</v>
      </c>
      <c r="G81" t="str">
        <f>HYPERLINK("https://www.google.com/search?tbm=isch&amp;q=Ireland+Blenheim+Palace+/+Rock+of+Cashel", "Blenheim Palace / Rock of Cashel")</f>
        <v>Blenheim Palace / Rock of Cashel</v>
      </c>
    </row>
    <row r="82" spans="1:7" x14ac:dyDescent="0.3">
      <c r="A82" t="s">
        <v>87</v>
      </c>
      <c r="B82" t="s">
        <v>283</v>
      </c>
      <c r="C82" t="str">
        <f>HYPERLINK("https://www.google.com/search?tbm=isch&amp;q=Israel+Western+Wall", "Western Wall")</f>
        <v>Western Wall</v>
      </c>
      <c r="D82" t="str">
        <f>HYPERLINK("https://www.google.com/search?tbm=isch&amp;q=Israel+Church+of+the+Holy+Sepulchre", "Church of the Holy Sepulchre")</f>
        <v>Church of the Holy Sepulchre</v>
      </c>
      <c r="E82" t="str">
        <f>HYPERLINK("https://www.google.com/search?tbm=isch&amp;q=Israel+Masada+Fortress", "Masada Fortress")</f>
        <v>Masada Fortress</v>
      </c>
      <c r="F82" t="str">
        <f>HYPERLINK("https://www.google.com/search?tbm=isch&amp;q=Israel+Dead+Sea+Israel", "Dead Sea Israel")</f>
        <v>Dead Sea Israel</v>
      </c>
      <c r="G82" t="str">
        <f>HYPERLINK("https://www.google.com/search?tbm=isch&amp;q=Israel+Bahai+Gardens+Haifa", "Bahai Gardens Haifa")</f>
        <v>Bahai Gardens Haifa</v>
      </c>
    </row>
    <row r="83" spans="1:7" x14ac:dyDescent="0.3">
      <c r="A83" t="s">
        <v>88</v>
      </c>
      <c r="B83" t="s">
        <v>284</v>
      </c>
      <c r="C83" t="str">
        <f>HYPERLINK("https://www.google.com/search?tbm=isch&amp;q=Italy+Colosseum", "Colosseum")</f>
        <v>Colosseum</v>
      </c>
      <c r="D83" t="str">
        <f>HYPERLINK("https://www.google.com/search?tbm=isch&amp;q=Italy+Leaning+Tower+of+Pisa", "Leaning Tower of Pisa")</f>
        <v>Leaning Tower of Pisa</v>
      </c>
      <c r="E83" t="str">
        <f>HYPERLINK("https://www.google.com/search?tbm=isch&amp;q=Italy+Venice+Grand+Canal", "Venice Grand Canal")</f>
        <v>Venice Grand Canal</v>
      </c>
      <c r="F83" t="str">
        <f>HYPERLINK("https://www.google.com/search?tbm=isch&amp;q=Italy+Pompeii+Ruins", "Pompeii Ruins")</f>
        <v>Pompeii Ruins</v>
      </c>
      <c r="G83" t="str">
        <f>HYPERLINK("https://www.google.com/search?tbm=isch&amp;q=Italy+Florence+Cathedral", "Florence Cathedral")</f>
        <v>Florence Cathedral</v>
      </c>
    </row>
    <row r="84" spans="1:7" x14ac:dyDescent="0.3">
      <c r="A84" t="s">
        <v>89</v>
      </c>
      <c r="B84" t="s">
        <v>285</v>
      </c>
      <c r="C84" t="str">
        <f>HYPERLINK("https://www.google.com/search?tbm=isch&amp;q=Ivory+Coast+(Côte+d'Ivoire)+Basilica+of+Our+Lady+of+Peace", "Basilica of Our Lady of Peace")</f>
        <v>Basilica of Our Lady of Peace</v>
      </c>
      <c r="D84" t="str">
        <f>HYPERLINK("https://www.google.com/search?tbm=isch&amp;q=Ivory+Coast+(Côte+d'Ivoire)+Tai+National+Park", "Tai National Park")</f>
        <v>Tai National Park</v>
      </c>
      <c r="E84" t="str">
        <f>HYPERLINK("https://www.google.com/search?tbm=isch&amp;q=Ivory+Coast+(Côte+d'Ivoire)+Grand-Bassam+Historic+Town", "Grand-Bassam Historic Town")</f>
        <v>Grand-Bassam Historic Town</v>
      </c>
      <c r="F84" t="str">
        <f>HYPERLINK("https://www.google.com/search?tbm=isch&amp;q=Ivory+Coast+(Côte+d'Ivoire)+Banco+National+Park", "Banco National Park")</f>
        <v>Banco National Park</v>
      </c>
      <c r="G84" t="str">
        <f>HYPERLINK("https://www.google.com/search?tbm=isch&amp;q=Ivory+Coast+(Côte+d'Ivoire)+Assinie-Mafia+Beach", "Assinie-Mafia Beach")</f>
        <v>Assinie-Mafia Beach</v>
      </c>
    </row>
    <row r="85" spans="1:7" x14ac:dyDescent="0.3">
      <c r="A85" t="s">
        <v>90</v>
      </c>
      <c r="B85" t="s">
        <v>286</v>
      </c>
      <c r="C85" t="str">
        <f>HYPERLINK("https://www.google.com/search?tbm=isch&amp;q=Jamaica+Dunn's+River+Falls", "Dunn's River Falls")</f>
        <v>Dunn's River Falls</v>
      </c>
      <c r="D85" t="str">
        <f>HYPERLINK("https://www.google.com/search?tbm=isch&amp;q=Jamaica+Blue+Mountains+Jamaica", "Blue Mountains Jamaica")</f>
        <v>Blue Mountains Jamaica</v>
      </c>
      <c r="E85" t="str">
        <f>HYPERLINK("https://www.google.com/search?tbm=isch&amp;q=Jamaica+Negril+Seven+Mile+Beach", "Negril Seven Mile Beach")</f>
        <v>Negril Seven Mile Beach</v>
      </c>
      <c r="F85" t="str">
        <f>HYPERLINK("https://www.google.com/search?tbm=isch&amp;q=Jamaica+Bob+Marley+Museum", "Bob Marley Museum")</f>
        <v>Bob Marley Museum</v>
      </c>
      <c r="G85" t="str">
        <f>HYPERLINK("https://www.google.com/search?tbm=isch&amp;q=Jamaica+Port+Antonio+Blue+Lagoon", "Port Antonio Blue Lagoon")</f>
        <v>Port Antonio Blue Lagoon</v>
      </c>
    </row>
    <row r="86" spans="1:7" x14ac:dyDescent="0.3">
      <c r="A86" t="s">
        <v>91</v>
      </c>
      <c r="B86" t="s">
        <v>287</v>
      </c>
      <c r="C86" t="str">
        <f>HYPERLINK("https://www.google.com/search?tbm=isch&amp;q=Japan+Mount+Fuji", "Mount Fuji")</f>
        <v>Mount Fuji</v>
      </c>
      <c r="D86" t="str">
        <f>HYPERLINK("https://www.google.com/search?tbm=isch&amp;q=Japan+Fushimi+Inari+Taisha", "Fushimi Inari Taisha")</f>
        <v>Fushimi Inari Taisha</v>
      </c>
      <c r="E86" t="str">
        <f>HYPERLINK("https://www.google.com/search?tbm=isch&amp;q=Japan+Kinkaku-ji+(Golden+Pavilion)", "Kinkaku-ji (Golden Pavilion)")</f>
        <v>Kinkaku-ji (Golden Pavilion)</v>
      </c>
      <c r="F86" t="str">
        <f>HYPERLINK("https://www.google.com/search?tbm=isch&amp;q=Japan+Hiroshima+Peace+Memorial", "Hiroshima Peace Memorial")</f>
        <v>Hiroshima Peace Memorial</v>
      </c>
      <c r="G86" t="str">
        <f>HYPERLINK("https://www.google.com/search?tbm=isch&amp;q=Japan+Todai-ji+Temple", "Todai-ji Temple")</f>
        <v>Todai-ji Temple</v>
      </c>
    </row>
    <row r="87" spans="1:7" x14ac:dyDescent="0.3">
      <c r="A87" t="s">
        <v>92</v>
      </c>
      <c r="B87" t="s">
        <v>288</v>
      </c>
      <c r="C87" t="str">
        <f>HYPERLINK("https://www.google.com/search?tbm=isch&amp;q=Jordan+Petra", "Petra")</f>
        <v>Petra</v>
      </c>
      <c r="D87" t="str">
        <f>HYPERLINK("https://www.google.com/search?tbm=isch&amp;q=Jordan+Wadi+Rum", "Wadi Rum")</f>
        <v>Wadi Rum</v>
      </c>
      <c r="E87" t="str">
        <f>HYPERLINK("https://www.google.com/search?tbm=isch&amp;q=Jordan+Dead+Sea+Jordan", "Dead Sea Jordan")</f>
        <v>Dead Sea Jordan</v>
      </c>
      <c r="F87" t="str">
        <f>HYPERLINK("https://www.google.com/search?tbm=isch&amp;q=Jordan+Jerash+Roman+Ruins", "Jerash Roman Ruins")</f>
        <v>Jerash Roman Ruins</v>
      </c>
      <c r="G87" t="str">
        <f>HYPERLINK("https://www.google.com/search?tbm=isch&amp;q=Jordan+Ajloun+Castle", "Ajloun Castle")</f>
        <v>Ajloun Castle</v>
      </c>
    </row>
    <row r="88" spans="1:7" x14ac:dyDescent="0.3">
      <c r="A88" t="s">
        <v>93</v>
      </c>
      <c r="B88" t="s">
        <v>289</v>
      </c>
      <c r="C88" t="str">
        <f>HYPERLINK("https://www.google.com/search?tbm=isch&amp;q=Kazakhstan+Charyn+Canyon", "Charyn Canyon")</f>
        <v>Charyn Canyon</v>
      </c>
      <c r="D88" t="str">
        <f>HYPERLINK("https://www.google.com/search?tbm=isch&amp;q=Kazakhstan+Lake+Kaindy", "Lake Kaindy")</f>
        <v>Lake Kaindy</v>
      </c>
      <c r="E88" t="str">
        <f>HYPERLINK("https://www.google.com/search?tbm=isch&amp;q=Kazakhstan+Hazrat+Sultan+Mosque", "Hazrat Sultan Mosque")</f>
        <v>Hazrat Sultan Mosque</v>
      </c>
      <c r="F88" t="str">
        <f>HYPERLINK("https://www.google.com/search?tbm=isch&amp;q=Kazakhstan+Medeu+Skating+Rink", "Medeu Skating Rink")</f>
        <v>Medeu Skating Rink</v>
      </c>
      <c r="G88" t="str">
        <f>HYPERLINK("https://www.google.com/search?tbm=isch&amp;q=Kazakhstan+Bayterek+Tower", "Bayterek Tower")</f>
        <v>Bayterek Tower</v>
      </c>
    </row>
    <row r="89" spans="1:7" x14ac:dyDescent="0.3">
      <c r="A89" t="s">
        <v>94</v>
      </c>
      <c r="B89" t="s">
        <v>290</v>
      </c>
      <c r="C89" t="str">
        <f>HYPERLINK("https://www.google.com/search?tbm=isch&amp;q=Kenya+Maasai+Mara+National+Reserve", "Maasai Mara National Reserve")</f>
        <v>Maasai Mara National Reserve</v>
      </c>
      <c r="D89" t="str">
        <f>HYPERLINK("https://www.google.com/search?tbm=isch&amp;q=Kenya+Mount+Kenya", "Mount Kenya")</f>
        <v>Mount Kenya</v>
      </c>
      <c r="E89" t="str">
        <f>HYPERLINK("https://www.google.com/search?tbm=isch&amp;q=Kenya+Amboseli+National+Park", "Amboseli National Park")</f>
        <v>Amboseli National Park</v>
      </c>
      <c r="F89" t="str">
        <f>HYPERLINK("https://www.google.com/search?tbm=isch&amp;q=Kenya+Diani+Beach", "Diani Beach")</f>
        <v>Diani Beach</v>
      </c>
      <c r="G89" t="str">
        <f>HYPERLINK("https://www.google.com/search?tbm=isch&amp;q=Kenya+Lake+Nakuru", "Lake Nakuru")</f>
        <v>Lake Nakuru</v>
      </c>
    </row>
    <row r="90" spans="1:7" x14ac:dyDescent="0.3">
      <c r="A90" t="s">
        <v>95</v>
      </c>
      <c r="B90" t="s">
        <v>291</v>
      </c>
      <c r="C90" t="str">
        <f>HYPERLINK("https://www.google.com/search?tbm=isch&amp;q=Kiribati+Kiritimati+(Christmas+Island)", "Kiritimati (Christmas Island)")</f>
        <v>Kiritimati (Christmas Island)</v>
      </c>
      <c r="D90" t="str">
        <f>HYPERLINK("https://www.google.com/search?tbm=isch&amp;q=Kiribati+Outer+Islands", "Outer Islands")</f>
        <v>Outer Islands</v>
      </c>
      <c r="E90" t="str">
        <f>HYPERLINK("https://www.google.com/search?tbm=isch&amp;q=Kiribati+Phoenix+Islands+Protected+Area", "Phoenix Islands Protected Area")</f>
        <v>Phoenix Islands Protected Area</v>
      </c>
      <c r="F90" t="str">
        <f>HYPERLINK("https://www.google.com/search?tbm=isch&amp;q=Kiribati+Tarawa+Atoll", "Tarawa Atoll")</f>
        <v>Tarawa Atoll</v>
      </c>
      <c r="G90" t="str">
        <f>HYPERLINK("https://www.google.com/search?tbm=isch&amp;q=Kiribati+Fanning+Island", "Fanning Island")</f>
        <v>Fanning Island</v>
      </c>
    </row>
    <row r="91" spans="1:7" x14ac:dyDescent="0.3">
      <c r="A91" t="s">
        <v>96</v>
      </c>
      <c r="B91" t="s">
        <v>292</v>
      </c>
      <c r="C91" t="str">
        <f>HYPERLINK("https://www.google.com/search?tbm=isch&amp;q=Kuwait+Kuwait+Towers", "Kuwait Towers")</f>
        <v>Kuwait Towers</v>
      </c>
      <c r="D91" t="str">
        <f>HYPERLINK("https://www.google.com/search?tbm=isch&amp;q=Kuwait+The+Grand+Mosque+of+Kuwait", "The Grand Mosque of Kuwait")</f>
        <v>The Grand Mosque of Kuwait</v>
      </c>
      <c r="E91" t="str">
        <f>HYPERLINK("https://www.google.com/search?tbm=isch&amp;q=Kuwait+The+Avenues+Mall", "The Avenues Mall")</f>
        <v>The Avenues Mall</v>
      </c>
      <c r="F91" t="str">
        <f>HYPERLINK("https://www.google.com/search?tbm=isch&amp;q=Kuwait+Failaka+Island", "Failaka Island")</f>
        <v>Failaka Island</v>
      </c>
      <c r="G91" t="str">
        <f>HYPERLINK("https://www.google.com/search?tbm=isch&amp;q=Kuwait+Al+Shaheed+Park", "Al Shaheed Park")</f>
        <v>Al Shaheed Park</v>
      </c>
    </row>
    <row r="92" spans="1:7" x14ac:dyDescent="0.3">
      <c r="A92" t="s">
        <v>97</v>
      </c>
      <c r="B92" t="s">
        <v>293</v>
      </c>
      <c r="C92" t="str">
        <f>HYPERLINK("https://www.google.com/search?tbm=isch&amp;q=Kyrgyzstan+Ala+Archa+National+Park", "Ala Archa National Park")</f>
        <v>Ala Archa National Park</v>
      </c>
      <c r="D92" t="str">
        <f>HYPERLINK("https://www.google.com/search?tbm=isch&amp;q=Kyrgyzstan+Issyk-Kul+Lake", "Issyk-Kul Lake")</f>
        <v>Issyk-Kul Lake</v>
      </c>
      <c r="E92" t="str">
        <f>HYPERLINK("https://www.google.com/search?tbm=isch&amp;q=Kyrgyzstan+Sulaiman-Too+Sacred+Mountain", "Sulaiman-Too Sacred Mountain")</f>
        <v>Sulaiman-Too Sacred Mountain</v>
      </c>
      <c r="F92" t="str">
        <f>HYPERLINK("https://www.google.com/search?tbm=isch&amp;q=Kyrgyzstan+Burana+Tower", "Burana Tower")</f>
        <v>Burana Tower</v>
      </c>
      <c r="G92" t="str">
        <f>HYPERLINK("https://www.google.com/search?tbm=isch&amp;q=Kyrgyzstan+Song-Kul+Lake", "Song-Kul Lake")</f>
        <v>Song-Kul Lake</v>
      </c>
    </row>
    <row r="93" spans="1:7" x14ac:dyDescent="0.3">
      <c r="A93" t="s">
        <v>98</v>
      </c>
      <c r="B93" t="s">
        <v>294</v>
      </c>
      <c r="C93" t="str">
        <f>HYPERLINK("https://www.google.com/search?tbm=isch&amp;q=Laos+Luang+Prabang+Old+Town", "Luang Prabang Old Town")</f>
        <v>Luang Prabang Old Town</v>
      </c>
      <c r="D93" t="str">
        <f>HYPERLINK("https://www.google.com/search?tbm=isch&amp;q=Laos+Kuang+Si+Falls", "Kuang Si Falls")</f>
        <v>Kuang Si Falls</v>
      </c>
      <c r="E93" t="str">
        <f>HYPERLINK("https://www.google.com/search?tbm=isch&amp;q=Laos+Pha+That+Luang", "Pha That Luang")</f>
        <v>Pha That Luang</v>
      </c>
      <c r="F93" t="str">
        <f>HYPERLINK("https://www.google.com/search?tbm=isch&amp;q=Laos+Plain+of+Jars", "Plain of Jars")</f>
        <v>Plain of Jars</v>
      </c>
      <c r="G93" t="str">
        <f>HYPERLINK("https://www.google.com/search?tbm=isch&amp;q=Laos+Vang+Vieng+Karst+Landscapes", "Vang Vieng Karst Landscapes")</f>
        <v>Vang Vieng Karst Landscapes</v>
      </c>
    </row>
    <row r="94" spans="1:7" x14ac:dyDescent="0.3">
      <c r="A94" t="s">
        <v>99</v>
      </c>
      <c r="B94" t="s">
        <v>295</v>
      </c>
      <c r="C94" t="str">
        <f>HYPERLINK("https://www.google.com/search?tbm=isch&amp;q=Latvia+Riga+Old+Town", "Riga Old Town")</f>
        <v>Riga Old Town</v>
      </c>
      <c r="D94" t="str">
        <f>HYPERLINK("https://www.google.com/search?tbm=isch&amp;q=Latvia+Rundāle+Palace", "Rundāle Palace")</f>
        <v>Rundāle Palace</v>
      </c>
      <c r="E94" t="str">
        <f>HYPERLINK("https://www.google.com/search?tbm=isch&amp;q=Latvia+Gauja+National+Park", "Gauja National Park")</f>
        <v>Gauja National Park</v>
      </c>
      <c r="F94" t="str">
        <f>HYPERLINK("https://www.google.com/search?tbm=isch&amp;q=Latvia+Jūrmala+Beach", "Jūrmala Beach")</f>
        <v>Jūrmala Beach</v>
      </c>
      <c r="G94" t="str">
        <f>HYPERLINK("https://www.google.com/search?tbm=isch&amp;q=Latvia+Turaida+Castle", "Turaida Castle")</f>
        <v>Turaida Castle</v>
      </c>
    </row>
    <row r="95" spans="1:7" x14ac:dyDescent="0.3">
      <c r="A95" t="s">
        <v>100</v>
      </c>
      <c r="B95" t="s">
        <v>296</v>
      </c>
      <c r="C95" t="str">
        <f>HYPERLINK("https://www.google.com/search?tbm=isch&amp;q=Lebanon+Jeita+Grotto", "Jeita Grotto")</f>
        <v>Jeita Grotto</v>
      </c>
      <c r="D95" t="str">
        <f>HYPERLINK("https://www.google.com/search?tbm=isch&amp;q=Lebanon+Baalbek+Roman+Ruins", "Baalbek Roman Ruins")</f>
        <v>Baalbek Roman Ruins</v>
      </c>
      <c r="E95" t="str">
        <f>HYPERLINK("https://www.google.com/search?tbm=isch&amp;q=Lebanon+Byblos+Castle", "Byblos Castle")</f>
        <v>Byblos Castle</v>
      </c>
      <c r="F95" t="str">
        <f>HYPERLINK("https://www.google.com/search?tbm=isch&amp;q=Lebanon+Cedars+of+God", "Cedars of God")</f>
        <v>Cedars of God</v>
      </c>
      <c r="G95" t="str">
        <f>HYPERLINK("https://www.google.com/search?tbm=isch&amp;q=Lebanon+Beiteddine+Palace", "Beiteddine Palace")</f>
        <v>Beiteddine Palace</v>
      </c>
    </row>
    <row r="96" spans="1:7" x14ac:dyDescent="0.3">
      <c r="A96" t="s">
        <v>101</v>
      </c>
      <c r="B96" t="s">
        <v>297</v>
      </c>
      <c r="C96" t="str">
        <f>HYPERLINK("https://www.google.com/search?tbm=isch&amp;q=Lesotho+Maletsunyane+Falls", "Maletsunyane Falls")</f>
        <v>Maletsunyane Falls</v>
      </c>
      <c r="D96" t="str">
        <f>HYPERLINK("https://www.google.com/search?tbm=isch&amp;q=Lesotho+Thaba+Bosiu", "Thaba Bosiu")</f>
        <v>Thaba Bosiu</v>
      </c>
      <c r="E96" t="str">
        <f>HYPERLINK("https://www.google.com/search?tbm=isch&amp;q=Lesotho+Sehlabathebe+National+Park", "Sehlabathebe National Park")</f>
        <v>Sehlabathebe National Park</v>
      </c>
      <c r="F96" t="str">
        <f>HYPERLINK("https://www.google.com/search?tbm=isch&amp;q=Lesotho+Katse+Dam", "Katse Dam")</f>
        <v>Katse Dam</v>
      </c>
      <c r="G96" t="str">
        <f>HYPERLINK("https://www.google.com/search?tbm=isch&amp;q=Lesotho+Afriski+Mountain+Resort", "Afriski Mountain Resort")</f>
        <v>Afriski Mountain Resort</v>
      </c>
    </row>
    <row r="97" spans="1:7" x14ac:dyDescent="0.3">
      <c r="A97" t="s">
        <v>102</v>
      </c>
      <c r="B97" t="s">
        <v>298</v>
      </c>
      <c r="C97" t="str">
        <f>HYPERLINK("https://www.google.com/search?tbm=isch&amp;q=Liberia+Sapo+National+Park", "Sapo National Park")</f>
        <v>Sapo National Park</v>
      </c>
      <c r="D97" t="str">
        <f>HYPERLINK("https://www.google.com/search?tbm=isch&amp;q=Liberia+Robertsport+Beaches", "Robertsport Beaches")</f>
        <v>Robertsport Beaches</v>
      </c>
      <c r="E97" t="str">
        <f>HYPERLINK("https://www.google.com/search?tbm=isch&amp;q=Liberia+Providence+Island", "Providence Island")</f>
        <v>Providence Island</v>
      </c>
      <c r="F97" t="str">
        <f>HYPERLINK("https://www.google.com/search?tbm=isch&amp;q=Liberia+Mount+Nimba+Liberia", "Mount Nimba Liberia")</f>
        <v>Mount Nimba Liberia</v>
      </c>
      <c r="G97" t="str">
        <f>HYPERLINK("https://www.google.com/search?tbm=isch&amp;q=Liberia+Libyan+Liberian+Beach", "Libyan Liberian Beach")</f>
        <v>Libyan Liberian Beach</v>
      </c>
    </row>
    <row r="98" spans="1:7" x14ac:dyDescent="0.3">
      <c r="A98" t="s">
        <v>103</v>
      </c>
      <c r="B98" t="s">
        <v>299</v>
      </c>
      <c r="C98" t="str">
        <f>HYPERLINK("https://www.google.com/search?tbm=isch&amp;q=Libya+Leptis+Magna", "Leptis Magna")</f>
        <v>Leptis Magna</v>
      </c>
      <c r="D98" t="str">
        <f>HYPERLINK("https://www.google.com/search?tbm=isch&amp;q=Libya+Sabratha+Roman+Ruins", "Sabratha Roman Ruins")</f>
        <v>Sabratha Roman Ruins</v>
      </c>
      <c r="E98" t="str">
        <f>HYPERLINK("https://www.google.com/search?tbm=isch&amp;q=Libya+Cyrene", "Cyrene")</f>
        <v>Cyrene</v>
      </c>
      <c r="F98" t="str">
        <f>HYPERLINK("https://www.google.com/search?tbm=isch&amp;q=Libya+Ghadames+Old+Town", "Ghadames Old Town")</f>
        <v>Ghadames Old Town</v>
      </c>
      <c r="G98" t="str">
        <f>HYPERLINK("https://www.google.com/search?tbm=isch&amp;q=Libya+Acacus+Mountains", "Acacus Mountains")</f>
        <v>Acacus Mountains</v>
      </c>
    </row>
    <row r="99" spans="1:7" x14ac:dyDescent="0.3">
      <c r="A99" t="s">
        <v>104</v>
      </c>
      <c r="B99" t="s">
        <v>300</v>
      </c>
      <c r="C99" t="str">
        <f>HYPERLINK("https://www.google.com/search?tbm=isch&amp;q=Liechtenstein+Vaduz+Castle", "Vaduz Castle")</f>
        <v>Vaduz Castle</v>
      </c>
      <c r="D99" t="str">
        <f>HYPERLINK("https://www.google.com/search?tbm=isch&amp;q=Liechtenstein+Gutenberg+Castle", "Gutenberg Castle")</f>
        <v>Gutenberg Castle</v>
      </c>
      <c r="E99" t="str">
        <f>HYPERLINK("https://www.google.com/search?tbm=isch&amp;q=Liechtenstein+Malbun+Ski+Resort", "Malbun Ski Resort")</f>
        <v>Malbun Ski Resort</v>
      </c>
      <c r="F99" t="str">
        <f>HYPERLINK("https://www.google.com/search?tbm=isch&amp;q=Liechtenstein+Kunstmuseum+Liechtenstein", "Kunstmuseum Liechtenstein")</f>
        <v>Kunstmuseum Liechtenstein</v>
      </c>
      <c r="G99" t="str">
        <f>HYPERLINK("https://www.google.com/search?tbm=isch&amp;q=Liechtenstein+The+Prince's+Way", "The Prince's Way")</f>
        <v>The Prince's Way</v>
      </c>
    </row>
    <row r="100" spans="1:7" x14ac:dyDescent="0.3">
      <c r="A100" t="s">
        <v>105</v>
      </c>
      <c r="B100" t="s">
        <v>301</v>
      </c>
      <c r="C100" t="str">
        <f>HYPERLINK("https://www.google.com/search?tbm=isch&amp;q=Lithuania+Trakai+Island+Castle", "Trakai Island Castle")</f>
        <v>Trakai Island Castle</v>
      </c>
      <c r="D100" t="str">
        <f>HYPERLINK("https://www.google.com/search?tbm=isch&amp;q=Lithuania+Vilnius+Old+Town", "Vilnius Old Town")</f>
        <v>Vilnius Old Town</v>
      </c>
      <c r="E100" t="str">
        <f>HYPERLINK("https://www.google.com/search?tbm=isch&amp;q=Lithuania+Hill+of+Crosses", "Hill of Crosses")</f>
        <v>Hill of Crosses</v>
      </c>
      <c r="F100" t="str">
        <f>HYPERLINK("https://www.google.com/search?tbm=isch&amp;q=Lithuania+Curonian+Spit", "Curonian Spit")</f>
        <v>Curonian Spit</v>
      </c>
      <c r="G100" t="str">
        <f>HYPERLINK("https://www.google.com/search?tbm=isch&amp;q=Lithuania+St.+Anne's+Church", "St. Anne's Church")</f>
        <v>St. Anne's Church</v>
      </c>
    </row>
    <row r="101" spans="1:7" x14ac:dyDescent="0.3">
      <c r="A101" t="s">
        <v>106</v>
      </c>
      <c r="B101" t="s">
        <v>302</v>
      </c>
      <c r="C101" t="str">
        <f>HYPERLINK("https://www.google.com/search?tbm=isch&amp;q=Luxembourg+Bock+Casemates", "Bock Casemates")</f>
        <v>Bock Casemates</v>
      </c>
      <c r="D101" t="str">
        <f>HYPERLINK("https://www.google.com/search?tbm=isch&amp;q=Luxembourg+Vianden+Castle", "Vianden Castle")</f>
        <v>Vianden Castle</v>
      </c>
      <c r="E101" t="str">
        <f>HYPERLINK("https://www.google.com/search?tbm=isch&amp;q=Luxembourg+Grand+Ducal+Palace", "Grand Ducal Palace")</f>
        <v>Grand Ducal Palace</v>
      </c>
      <c r="F101" t="str">
        <f>HYPERLINK("https://www.google.com/search?tbm=isch&amp;q=Luxembourg+Mullerthal+Region+(Little+Switzerland)", "Mullerthal Region (Little Switzerland)")</f>
        <v>Mullerthal Region (Little Switzerland)</v>
      </c>
      <c r="G101" t="str">
        <f>HYPERLINK("https://www.google.com/search?tbm=isch&amp;q=Luxembourg+Notre-Dame+Cathedral", "Notre-Dame Cathedral")</f>
        <v>Notre-Dame Cathedral</v>
      </c>
    </row>
    <row r="102" spans="1:7" x14ac:dyDescent="0.3">
      <c r="A102" t="s">
        <v>107</v>
      </c>
      <c r="B102" t="s">
        <v>303</v>
      </c>
      <c r="C102" t="str">
        <f>HYPERLINK("https://www.google.com/search?tbm=isch&amp;q=Madagascar+Avenue+of+the+Baobabs", "Avenue of the Baobabs")</f>
        <v>Avenue of the Baobabs</v>
      </c>
      <c r="D102" t="str">
        <f>HYPERLINK("https://www.google.com/search?tbm=isch&amp;q=Madagascar+Tsingy+de+Bemaraha", "Tsingy de Bemaraha")</f>
        <v>Tsingy de Bemaraha</v>
      </c>
      <c r="E102" t="str">
        <f>HYPERLINK("https://www.google.com/search?tbm=isch&amp;q=Madagascar+Isalo+National+Park", "Isalo National Park")</f>
        <v>Isalo National Park</v>
      </c>
      <c r="F102" t="str">
        <f>HYPERLINK("https://www.google.com/search?tbm=isch&amp;q=Madagascar+Andasibe-Mantadia+Park", "Andasibe-Mantadia Park")</f>
        <v>Andasibe-Mantadia Park</v>
      </c>
      <c r="G102" t="str">
        <f>HYPERLINK("https://www.google.com/search?tbm=isch&amp;q=Madagascar+Nosy+Be+Island", "Nosy Be Island")</f>
        <v>Nosy Be Island</v>
      </c>
    </row>
    <row r="103" spans="1:7" x14ac:dyDescent="0.3">
      <c r="A103" t="s">
        <v>108</v>
      </c>
      <c r="B103" t="s">
        <v>304</v>
      </c>
      <c r="C103" t="str">
        <f>HYPERLINK("https://www.google.com/search?tbm=isch&amp;q=Malawi+Lake+Malawi+National+Park", "Lake Malawi National Park")</f>
        <v>Lake Malawi National Park</v>
      </c>
      <c r="D103" t="str">
        <f>HYPERLINK("https://www.google.com/search?tbm=isch&amp;q=Malawi+Mount+Mulanje", "Mount Mulanje")</f>
        <v>Mount Mulanje</v>
      </c>
      <c r="E103" t="str">
        <f>HYPERLINK("https://www.google.com/search?tbm=isch&amp;q=Malawi+Liwonde+National+Park", "Liwonde National Park")</f>
        <v>Liwonde National Park</v>
      </c>
      <c r="F103" t="str">
        <f>HYPERLINK("https://www.google.com/search?tbm=isch&amp;q=Malawi+Zomba+Plateau", "Zomba Plateau")</f>
        <v>Zomba Plateau</v>
      </c>
      <c r="G103" t="str">
        <f>HYPERLINK("https://www.google.com/search?tbm=isch&amp;q=Malawi+Nyika+National+Park", "Nyika National Park")</f>
        <v>Nyika National Park</v>
      </c>
    </row>
    <row r="104" spans="1:7" x14ac:dyDescent="0.3">
      <c r="A104" t="s">
        <v>109</v>
      </c>
      <c r="B104" t="s">
        <v>305</v>
      </c>
      <c r="C104" t="str">
        <f>HYPERLINK("https://www.google.com/search?tbm=isch&amp;q=Malaysia+Petronas+Twin+Towers", "Petronas Twin Towers")</f>
        <v>Petronas Twin Towers</v>
      </c>
      <c r="D104" t="str">
        <f>HYPERLINK("https://www.google.com/search?tbm=isch&amp;q=Malaysia+Batu+Caves", "Batu Caves")</f>
        <v>Batu Caves</v>
      </c>
      <c r="E104" t="str">
        <f>HYPERLINK("https://www.google.com/search?tbm=isch&amp;q=Malaysia+Langkawi+Cable+Car", "Langkawi Cable Car")</f>
        <v>Langkawi Cable Car</v>
      </c>
      <c r="F104" t="str">
        <f>HYPERLINK("https://www.google.com/search?tbm=isch&amp;q=Malaysia+Mount+Kinabalu", "Mount Kinabalu")</f>
        <v>Mount Kinabalu</v>
      </c>
      <c r="G104" t="str">
        <f>HYPERLINK("https://www.google.com/search?tbm=isch&amp;q=Malaysia+George+Town+Penang", "George Town Penang")</f>
        <v>George Town Penang</v>
      </c>
    </row>
    <row r="105" spans="1:7" x14ac:dyDescent="0.3">
      <c r="A105" t="s">
        <v>110</v>
      </c>
      <c r="B105" t="s">
        <v>306</v>
      </c>
      <c r="C105" t="str">
        <f>HYPERLINK("https://www.google.com/search?tbm=isch&amp;q=Maldives+Male+Friday+Mosque", "Male Friday Mosque")</f>
        <v>Male Friday Mosque</v>
      </c>
      <c r="D105" t="str">
        <f>HYPERLINK("https://www.google.com/search?tbm=isch&amp;q=Maldives+Vaadhoo+Island+Glowing+Beach", "Vaadhoo Island Glowing Beach")</f>
        <v>Vaadhoo Island Glowing Beach</v>
      </c>
      <c r="E105" t="str">
        <f>HYPERLINK("https://www.google.com/search?tbm=isch&amp;q=Maldives+Banana+Reef", "Banana Reef")</f>
        <v>Banana Reef</v>
      </c>
      <c r="F105" t="str">
        <f>HYPERLINK("https://www.google.com/search?tbm=isch&amp;q=Maldives+Maafushi+Island", "Maafushi Island")</f>
        <v>Maafushi Island</v>
      </c>
      <c r="G105" t="str">
        <f>HYPERLINK("https://www.google.com/search?tbm=isch&amp;q=Maldives+Utheemu+Ganduvaru", "Utheemu Ganduvaru")</f>
        <v>Utheemu Ganduvaru</v>
      </c>
    </row>
    <row r="106" spans="1:7" x14ac:dyDescent="0.3">
      <c r="A106" t="s">
        <v>111</v>
      </c>
      <c r="B106" t="s">
        <v>307</v>
      </c>
      <c r="C106" t="str">
        <f>HYPERLINK("https://www.google.com/search?tbm=isch&amp;q=Mali+Great+Mosque+of+Djenné", "Great Mosque of Djenné")</f>
        <v>Great Mosque of Djenné</v>
      </c>
      <c r="D106" t="str">
        <f>HYPERLINK("https://www.google.com/search?tbm=isch&amp;q=Mali+Cliff+of+Bandiagara", "Cliff of Bandiagara")</f>
        <v>Cliff of Bandiagara</v>
      </c>
      <c r="E106" t="str">
        <f>HYPERLINK("https://www.google.com/search?tbm=isch&amp;q=Mali+Timbuktu", "Timbuktu")</f>
        <v>Timbuktu</v>
      </c>
      <c r="F106" t="str">
        <f>HYPERLINK("https://www.google.com/search?tbm=isch&amp;q=Mali+Boucle+du+Baoulé+National+Park", "Boucle du Baoulé National Park")</f>
        <v>Boucle du Baoulé National Park</v>
      </c>
      <c r="G106" t="str">
        <f>HYPERLINK("https://www.google.com/search?tbm=isch&amp;q=Mali+Tomb+of+Askia", "Tomb of Askia")</f>
        <v>Tomb of Askia</v>
      </c>
    </row>
    <row r="107" spans="1:7" x14ac:dyDescent="0.3">
      <c r="A107" t="s">
        <v>112</v>
      </c>
      <c r="B107" t="s">
        <v>308</v>
      </c>
      <c r="C107" t="str">
        <f>HYPERLINK("https://www.google.com/search?tbm=isch&amp;q=Malta+Valletta+City+Walls", "Valletta City Walls")</f>
        <v>Valletta City Walls</v>
      </c>
      <c r="D107" t="str">
        <f>HYPERLINK("https://www.google.com/search?tbm=isch&amp;q=Malta+Ħal+Saflieni+Hypogeum", "Ħal Saflieni Hypogeum")</f>
        <v>Ħal Saflieni Hypogeum</v>
      </c>
      <c r="E107" t="str">
        <f>HYPERLINK("https://www.google.com/search?tbm=isch&amp;q=Malta+Mdina+Old+City", "Mdina Old City")</f>
        <v>Mdina Old City</v>
      </c>
      <c r="F107" t="str">
        <f>HYPERLINK("https://www.google.com/search?tbm=isch&amp;q=Malta+Blue+Grotto+Malta", "Blue Grotto Malta")</f>
        <v>Blue Grotto Malta</v>
      </c>
      <c r="G107" t="str">
        <f>HYPERLINK("https://www.google.com/search?tbm=isch&amp;q=Malta+Gozo+Citadel", "Gozo Citadel")</f>
        <v>Gozo Citadel</v>
      </c>
    </row>
    <row r="108" spans="1:7" x14ac:dyDescent="0.3">
      <c r="A108" t="s">
        <v>113</v>
      </c>
      <c r="B108" t="s">
        <v>309</v>
      </c>
      <c r="C108" t="str">
        <f>HYPERLINK("https://www.google.com/search?tbm=isch&amp;q=Marshall+Islands+Majuro+Atoll", "Majuro Atoll")</f>
        <v>Majuro Atoll</v>
      </c>
      <c r="D108" t="str">
        <f>HYPERLINK("https://www.google.com/search?tbm=isch&amp;q=Marshall+Islands+Arno+Atoll", "Arno Atoll")</f>
        <v>Arno Atoll</v>
      </c>
      <c r="E108" t="str">
        <f>HYPERLINK("https://www.google.com/search?tbm=isch&amp;q=Marshall+Islands+Bikini+Atoll+Blue+Lagoon", "Bikini Atoll Blue Lagoon")</f>
        <v>Bikini Atoll Blue Lagoon</v>
      </c>
      <c r="F108" t="str">
        <f>HYPERLINK("https://www.google.com/search?tbm=isch&amp;q=Marshall+Islands+Laura+Beach", "Laura Beach")</f>
        <v>Laura Beach</v>
      </c>
      <c r="G108" t="str">
        <f>HYPERLINK("https://www.google.com/search?tbm=isch&amp;q=Marshall+Islands+Enewetak+Atoll", "Enewetak Atoll")</f>
        <v>Enewetak Atoll</v>
      </c>
    </row>
    <row r="109" spans="1:7" x14ac:dyDescent="0.3">
      <c r="A109" t="s">
        <v>114</v>
      </c>
      <c r="B109" t="s">
        <v>310</v>
      </c>
      <c r="C109" t="str">
        <f>HYPERLINK("https://www.google.com/search?tbm=isch&amp;q=Mauritania+Chinguetti+Mosque", "Chinguetti Mosque")</f>
        <v>Chinguetti Mosque</v>
      </c>
      <c r="D109" t="str">
        <f>HYPERLINK("https://www.google.com/search?tbm=isch&amp;q=Mauritania+Banc+d'Arguin+National+Park", "Banc d'Arguin National Park")</f>
        <v>Banc d'Arguin National Park</v>
      </c>
      <c r="E109" t="str">
        <f>HYPERLINK("https://www.google.com/search?tbm=isch&amp;q=Mauritania+Eye+of+the+Sahara+(Richat+Structure)", "Eye of the Sahara (Richat Structure)")</f>
        <v>Eye of the Sahara (Richat Structure)</v>
      </c>
      <c r="F109" t="str">
        <f>HYPERLINK("https://www.google.com/search?tbm=isch&amp;q=Mauritania+Ouadane+Ruins", "Ouadane Ruins")</f>
        <v>Ouadane Ruins</v>
      </c>
      <c r="G109" t="str">
        <f>HYPERLINK("https://www.google.com/search?tbm=isch&amp;q=Mauritania+Terjit+Oasis", "Terjit Oasis")</f>
        <v>Terjit Oasis</v>
      </c>
    </row>
    <row r="110" spans="1:7" x14ac:dyDescent="0.3">
      <c r="A110" t="s">
        <v>115</v>
      </c>
      <c r="B110" t="s">
        <v>311</v>
      </c>
      <c r="C110" t="str">
        <f>HYPERLINK("https://www.google.com/search?tbm=isch&amp;q=Mauritius+Seven+Coloured+Earths", "Seven Coloured Earths")</f>
        <v>Seven Coloured Earths</v>
      </c>
      <c r="D110" t="str">
        <f>HYPERLINK("https://www.google.com/search?tbm=isch&amp;q=Mauritius+Le+Morne+Brabant", "Le Morne Brabant")</f>
        <v>Le Morne Brabant</v>
      </c>
      <c r="E110" t="str">
        <f>HYPERLINK("https://www.google.com/search?tbm=isch&amp;q=Mauritius+Black+River+Gorges", "Black River Gorges")</f>
        <v>Black River Gorges</v>
      </c>
      <c r="F110" t="str">
        <f>HYPERLINK("https://www.google.com/search?tbm=isch&amp;q=Mauritius+Sir+Seewoosagur+Ramgoolam+Botanic+Garden", "Sir Seewoosagur Ramgoolam Botanic Garden")</f>
        <v>Sir Seewoosagur Ramgoolam Botanic Garden</v>
      </c>
      <c r="G110" t="str">
        <f>HYPERLINK("https://www.google.com/search?tbm=isch&amp;q=Mauritius+Ile+aux+Cerfs", "Ile aux Cerfs")</f>
        <v>Ile aux Cerfs</v>
      </c>
    </row>
    <row r="111" spans="1:7" x14ac:dyDescent="0.3">
      <c r="A111" t="s">
        <v>116</v>
      </c>
      <c r="B111" t="s">
        <v>312</v>
      </c>
      <c r="C111" t="str">
        <f>HYPERLINK("https://www.google.com/search?tbm=isch&amp;q=Mexico+Chichen+Itza", "Chichen Itza")</f>
        <v>Chichen Itza</v>
      </c>
      <c r="D111" t="str">
        <f>HYPERLINK("https://www.google.com/search?tbm=isch&amp;q=Mexico+Teotihuacan+Pyramids", "Teotihuacan Pyramids")</f>
        <v>Teotihuacan Pyramids</v>
      </c>
      <c r="E111" t="str">
        <f>HYPERLINK("https://www.google.com/search?tbm=isch&amp;q=Mexico+Tulum+Archaeological+Site", "Tulum Archaeological Site")</f>
        <v>Tulum Archaeological Site</v>
      </c>
      <c r="F111" t="str">
        <f>HYPERLINK("https://www.google.com/search?tbm=isch&amp;q=Mexico+Palacio+de+Bellas+Artes", "Palacio de Bellas Artes")</f>
        <v>Palacio de Bellas Artes</v>
      </c>
      <c r="G111" t="str">
        <f>HYPERLINK("https://www.google.com/search?tbm=isch&amp;q=Mexico+Cozumel+Island", "Cozumel Island")</f>
        <v>Cozumel Island</v>
      </c>
    </row>
    <row r="112" spans="1:7" x14ac:dyDescent="0.3">
      <c r="A112" t="s">
        <v>117</v>
      </c>
      <c r="B112" t="s">
        <v>313</v>
      </c>
      <c r="C112" t="str">
        <f>HYPERLINK("https://www.google.com/search?tbm=isch&amp;q=Micronesia+Nan+Madol", "Nan Madol")</f>
        <v>Nan Madol</v>
      </c>
      <c r="D112" t="str">
        <f>HYPERLINK("https://www.google.com/search?tbm=isch&amp;q=Micronesia+Chuuk+Lagoon+Wrecks", "Chuuk Lagoon Wrecks")</f>
        <v>Chuuk Lagoon Wrecks</v>
      </c>
      <c r="E112" t="str">
        <f>HYPERLINK("https://www.google.com/search?tbm=isch&amp;q=Micronesia+Yap+Stone+Money", "Yap Stone Money")</f>
        <v>Yap Stone Money</v>
      </c>
      <c r="F112" t="str">
        <f>HYPERLINK("https://www.google.com/search?tbm=isch&amp;q=Micronesia+Kepirohi+Waterfall", "Kepirohi Waterfall")</f>
        <v>Kepirohi Waterfall</v>
      </c>
      <c r="G112" t="str">
        <f>HYPERLINK("https://www.google.com/search?tbm=isch&amp;q=Micronesia+Sokehs+Rock", "Sokehs Rock")</f>
        <v>Sokehs Rock</v>
      </c>
    </row>
    <row r="113" spans="1:7" x14ac:dyDescent="0.3">
      <c r="A113" t="s">
        <v>118</v>
      </c>
      <c r="B113" t="s">
        <v>314</v>
      </c>
      <c r="C113" t="str">
        <f>HYPERLINK("https://www.google.com/search?tbm=isch&amp;q=Moldova+Orheiul+Vechi", "Orheiul Vechi")</f>
        <v>Orheiul Vechi</v>
      </c>
      <c r="D113" t="str">
        <f>HYPERLINK("https://www.google.com/search?tbm=isch&amp;q=Moldova+Cricova+Winery", "Cricova Winery")</f>
        <v>Cricova Winery</v>
      </c>
      <c r="E113" t="str">
        <f>HYPERLINK("https://www.google.com/search?tbm=isch&amp;q=Moldova+Mileștii+Mici", "Mileștii Mici")</f>
        <v>Mileștii Mici</v>
      </c>
      <c r="F113" t="str">
        <f>HYPERLINK("https://www.google.com/search?tbm=isch&amp;q=Moldova+Tipova+Monastery", "Tipova Monastery")</f>
        <v>Tipova Monastery</v>
      </c>
      <c r="G113" t="str">
        <f>HYPERLINK("https://www.google.com/search?tbm=isch&amp;q=Moldova+Soroca+Fort", "Soroca Fort")</f>
        <v>Soroca Fort</v>
      </c>
    </row>
    <row r="114" spans="1:7" x14ac:dyDescent="0.3">
      <c r="A114" t="s">
        <v>119</v>
      </c>
      <c r="B114" t="s">
        <v>315</v>
      </c>
      <c r="C114" t="str">
        <f>HYPERLINK("https://www.google.com/search?tbm=isch&amp;q=Monaco+Monte+Carlo+Casino", "Monte Carlo Casino")</f>
        <v>Monte Carlo Casino</v>
      </c>
      <c r="D114" t="str">
        <f>HYPERLINK("https://www.google.com/search?tbm=isch&amp;q=Monaco+Prince's+Palace+of+Monaco", "Prince's Palace of Monaco")</f>
        <v>Prince's Palace of Monaco</v>
      </c>
      <c r="E114" t="str">
        <f>HYPERLINK("https://www.google.com/search?tbm=isch&amp;q=Monaco+Oceanographic+Museum", "Oceanographic Museum")</f>
        <v>Oceanographic Museum</v>
      </c>
      <c r="F114" t="str">
        <f>HYPERLINK("https://www.google.com/search?tbm=isch&amp;q=Monaco+Larvotto+Beach", "Larvotto Beach")</f>
        <v>Larvotto Beach</v>
      </c>
      <c r="G114" t="str">
        <f>HYPERLINK("https://www.google.com/search?tbm=isch&amp;q=Monaco+Monaco+Exotic+Garden", "Monaco Exotic Garden")</f>
        <v>Monaco Exotic Garden</v>
      </c>
    </row>
    <row r="115" spans="1:7" x14ac:dyDescent="0.3">
      <c r="A115" t="s">
        <v>120</v>
      </c>
      <c r="B115" t="s">
        <v>316</v>
      </c>
      <c r="C115" t="str">
        <f>HYPERLINK("https://www.google.com/search?tbm=isch&amp;q=Mongolia+Gorkhi-Terelj+National+Park", "Gorkhi-Terelj National Park")</f>
        <v>Gorkhi-Terelj National Park</v>
      </c>
      <c r="D115" t="str">
        <f>HYPERLINK("https://www.google.com/search?tbm=isch&amp;q=Mongolia+Flaming+Cliffs+(Bayanzag)", "Flaming Cliffs (Bayanzag)")</f>
        <v>Flaming Cliffs (Bayanzag)</v>
      </c>
      <c r="E115" t="str">
        <f>HYPERLINK("https://www.google.com/search?tbm=isch&amp;q=Mongolia+Erdene+Zuu+Monastery", "Erdene Zuu Monastery")</f>
        <v>Erdene Zuu Monastery</v>
      </c>
      <c r="F115" t="str">
        <f>HYPERLINK("https://www.google.com/search?tbm=isch&amp;q=Mongolia+Khuvsgul+Lake", "Khuvsgul Lake")</f>
        <v>Khuvsgul Lake</v>
      </c>
      <c r="G115" t="str">
        <f>HYPERLINK("https://www.google.com/search?tbm=isch&amp;q=Mongolia+Genghis+Khan+Statue+Complex", "Genghis Khan Statue Complex")</f>
        <v>Genghis Khan Statue Complex</v>
      </c>
    </row>
    <row r="116" spans="1:7" x14ac:dyDescent="0.3">
      <c r="A116" t="s">
        <v>121</v>
      </c>
      <c r="B116" t="s">
        <v>317</v>
      </c>
      <c r="C116" t="str">
        <f>HYPERLINK("https://www.google.com/search?tbm=isch&amp;q=Montenegro+Kotor+Old+Town", "Kotor Old Town")</f>
        <v>Kotor Old Town</v>
      </c>
      <c r="D116" t="str">
        <f>HYPERLINK("https://www.google.com/search?tbm=isch&amp;q=Montenegro+Durmitor+National+Park", "Durmitor National Park")</f>
        <v>Durmitor National Park</v>
      </c>
      <c r="E116" t="str">
        <f>HYPERLINK("https://www.google.com/search?tbm=isch&amp;q=Montenegro+Our+Lady+of+the+Rocks", "Our Lady of the Rocks")</f>
        <v>Our Lady of the Rocks</v>
      </c>
      <c r="F116" t="str">
        <f>HYPERLINK("https://www.google.com/search?tbm=isch&amp;q=Montenegro+Sveti+Stefan", "Sveti Stefan")</f>
        <v>Sveti Stefan</v>
      </c>
      <c r="G116" t="str">
        <f>HYPERLINK("https://www.google.com/search?tbm=isch&amp;q=Montenegro+Lovćen+National+Park", "Lovćen National Park")</f>
        <v>Lovćen National Park</v>
      </c>
    </row>
    <row r="117" spans="1:7" x14ac:dyDescent="0.3">
      <c r="A117" t="s">
        <v>122</v>
      </c>
      <c r="B117" t="s">
        <v>318</v>
      </c>
      <c r="C117" t="str">
        <f>HYPERLINK("https://www.google.com/search?tbm=isch&amp;q=Morocco+Marrakesh+Medina", "Marrakesh Medina")</f>
        <v>Marrakesh Medina</v>
      </c>
      <c r="D117" t="str">
        <f>HYPERLINK("https://www.google.com/search?tbm=isch&amp;q=Morocco+Hassan+II+Mosque", "Hassan II Mosque")</f>
        <v>Hassan II Mosque</v>
      </c>
      <c r="E117" t="str">
        <f>HYPERLINK("https://www.google.com/search?tbm=isch&amp;q=Morocco+Chefchaouen+Blue+City", "Chefchaouen Blue City")</f>
        <v>Chefchaouen Blue City</v>
      </c>
      <c r="F117" t="str">
        <f>HYPERLINK("https://www.google.com/search?tbm=isch&amp;q=Morocco+Aït+Benhaddou", "Aït Benhaddou")</f>
        <v>Aït Benhaddou</v>
      </c>
      <c r="G117" t="str">
        <f>HYPERLINK("https://www.google.com/search?tbm=isch&amp;q=Morocco+Sahara+Desert+Merzouga", "Sahara Desert Merzouga")</f>
        <v>Sahara Desert Merzouga</v>
      </c>
    </row>
    <row r="118" spans="1:7" x14ac:dyDescent="0.3">
      <c r="A118" t="s">
        <v>123</v>
      </c>
      <c r="B118" t="s">
        <v>319</v>
      </c>
      <c r="C118" t="str">
        <f>HYPERLINK("https://www.google.com/search?tbm=isch&amp;q=Mozambique+Bazaruto+Archipelago", "Bazaruto Archipelago")</f>
        <v>Bazaruto Archipelago</v>
      </c>
      <c r="D118" t="str">
        <f>HYPERLINK("https://www.google.com/search?tbm=isch&amp;q=Mozambique+Gorongosa+National+Park", "Gorongosa National Park")</f>
        <v>Gorongosa National Park</v>
      </c>
      <c r="E118" t="str">
        <f>HYPERLINK("https://www.google.com/search?tbm=isch&amp;q=Mozambique+Ilha+de+Moçambique", "Ilha de Moçambique")</f>
        <v>Ilha de Moçambique</v>
      </c>
      <c r="F118" t="str">
        <f>HYPERLINK("https://www.google.com/search?tbm=isch&amp;q=Mozambique+Quirimba+Islands", "Quirimba Islands")</f>
        <v>Quirimba Islands</v>
      </c>
      <c r="G118" t="str">
        <f>HYPERLINK("https://www.google.com/search?tbm=isch&amp;q=Mozambique+Tofo+Beach", "Tofo Beach")</f>
        <v>Tofo Beach</v>
      </c>
    </row>
    <row r="119" spans="1:7" x14ac:dyDescent="0.3">
      <c r="A119" t="s">
        <v>124</v>
      </c>
      <c r="B119" t="s">
        <v>320</v>
      </c>
      <c r="C119" t="str">
        <f>HYPERLINK("https://www.google.com/search?tbm=isch&amp;q=Myanmar+(Burma)+Bagan+Temples", "Bagan Temples")</f>
        <v>Bagan Temples</v>
      </c>
      <c r="D119" t="str">
        <f>HYPERLINK("https://www.google.com/search?tbm=isch&amp;q=Myanmar+(Burma)+Inle+Lake", "Inle Lake")</f>
        <v>Inle Lake</v>
      </c>
      <c r="E119" t="str">
        <f>HYPERLINK("https://www.google.com/search?tbm=isch&amp;q=Myanmar+(Burma)+Shwedagon+Pagoda", "Shwedagon Pagoda")</f>
        <v>Shwedagon Pagoda</v>
      </c>
      <c r="F119" t="str">
        <f>HYPERLINK("https://www.google.com/search?tbm=isch&amp;q=Myanmar+(Burma)+Golden+Rock+(Kyaiktiyo+Pagoda)", "Golden Rock (Kyaiktiyo Pagoda)")</f>
        <v>Golden Rock (Kyaiktiyo Pagoda)</v>
      </c>
      <c r="G119" t="str">
        <f>HYPERLINK("https://www.google.com/search?tbm=isch&amp;q=Myanmar+(Burma)+Mandalay+Palace", "Mandalay Palace")</f>
        <v>Mandalay Palace</v>
      </c>
    </row>
    <row r="120" spans="1:7" x14ac:dyDescent="0.3">
      <c r="A120" t="s">
        <v>125</v>
      </c>
      <c r="B120" t="s">
        <v>321</v>
      </c>
      <c r="C120" t="str">
        <f>HYPERLINK("https://www.google.com/search?tbm=isch&amp;q=Namibia+Sossusvlei+Dunes", "Sossusvlei Dunes")</f>
        <v>Sossusvlei Dunes</v>
      </c>
      <c r="D120" t="str">
        <f>HYPERLINK("https://www.google.com/search?tbm=isch&amp;q=Namibia+Etosha+National+Park", "Etosha National Park")</f>
        <v>Etosha National Park</v>
      </c>
      <c r="E120" t="str">
        <f>HYPERLINK("https://www.google.com/search?tbm=isch&amp;q=Namibia+Fish+River+Canyon", "Fish River Canyon")</f>
        <v>Fish River Canyon</v>
      </c>
      <c r="F120" t="str">
        <f>HYPERLINK("https://www.google.com/search?tbm=isch&amp;q=Namibia+Skeleton+Coast", "Skeleton Coast")</f>
        <v>Skeleton Coast</v>
      </c>
      <c r="G120" t="str">
        <f>HYPERLINK("https://www.google.com/search?tbm=isch&amp;q=Namibia+Spitzkoppe", "Spitzkoppe")</f>
        <v>Spitzkoppe</v>
      </c>
    </row>
    <row r="121" spans="1:7" x14ac:dyDescent="0.3">
      <c r="A121" t="s">
        <v>126</v>
      </c>
      <c r="B121" t="s">
        <v>322</v>
      </c>
      <c r="C121" t="str">
        <f>HYPERLINK("https://www.google.com/search?tbm=isch&amp;q=Nauru+Anibare+Bay", "Anibare Bay")</f>
        <v>Anibare Bay</v>
      </c>
      <c r="D121" t="str">
        <f>HYPERLINK("https://www.google.com/search?tbm=isch&amp;q=Nauru+Command+Ridge", "Command Ridge")</f>
        <v>Command Ridge</v>
      </c>
      <c r="E121" t="str">
        <f>HYPERLINK("https://www.google.com/search?tbm=isch&amp;q=Nauru+Moqua+Well", "Moqua Well")</f>
        <v>Moqua Well</v>
      </c>
      <c r="F121" t="str">
        <f>HYPERLINK("https://www.google.com/search?tbm=isch&amp;q=Nauru+Buada+Lagoon", "Buada Lagoon")</f>
        <v>Buada Lagoon</v>
      </c>
      <c r="G121" t="str">
        <f>HYPERLINK("https://www.google.com/search?tbm=isch&amp;q=Nauru+Nauru+Phosphate+Belt", "Nauru Phosphate Belt")</f>
        <v>Nauru Phosphate Belt</v>
      </c>
    </row>
    <row r="122" spans="1:7" x14ac:dyDescent="0.3">
      <c r="A122" t="s">
        <v>127</v>
      </c>
      <c r="B122" t="s">
        <v>323</v>
      </c>
      <c r="C122" t="str">
        <f>HYPERLINK("https://www.google.com/search?tbm=isch&amp;q=Nepal+Mount+Everest+Base+Camp", "Mount Everest Base Camp")</f>
        <v>Mount Everest Base Camp</v>
      </c>
      <c r="D122" t="str">
        <f>HYPERLINK("https://www.google.com/search?tbm=isch&amp;q=Nepal+Kathmandu+Durbar+Square", "Kathmandu Durbar Square")</f>
        <v>Kathmandu Durbar Square</v>
      </c>
      <c r="E122" t="str">
        <f>HYPERLINK("https://www.google.com/search?tbm=isch&amp;q=Nepal+Boudhanath+Stupa", "Boudhanath Stupa")</f>
        <v>Boudhanath Stupa</v>
      </c>
      <c r="F122" t="str">
        <f>HYPERLINK("https://www.google.com/search?tbm=isch&amp;q=Nepal+Pokhara+Phewa+Lake", "Pokhara Phewa Lake")</f>
        <v>Pokhara Phewa Lake</v>
      </c>
      <c r="G122" t="str">
        <f>HYPERLINK("https://www.google.com/search?tbm=isch&amp;q=Nepal+Chitwan+National+Park", "Chitwan National Park")</f>
        <v>Chitwan National Park</v>
      </c>
    </row>
    <row r="123" spans="1:7" x14ac:dyDescent="0.3">
      <c r="A123" t="s">
        <v>128</v>
      </c>
      <c r="B123" t="s">
        <v>324</v>
      </c>
      <c r="C123" t="str">
        <f>HYPERLINK("https://www.google.com/search?tbm=isch&amp;q=Netherlands+Keukenhof+Gardens", "Keukenhof Gardens")</f>
        <v>Keukenhof Gardens</v>
      </c>
      <c r="D123" t="str">
        <f>HYPERLINK("https://www.google.com/search?tbm=isch&amp;q=Netherlands+Rijksmuseum", "Rijksmuseum")</f>
        <v>Rijksmuseum</v>
      </c>
      <c r="E123" t="str">
        <f>HYPERLINK("https://www.google.com/search?tbm=isch&amp;q=Netherlands+Anne+Frank+House", "Anne Frank House")</f>
        <v>Anne Frank House</v>
      </c>
      <c r="F123" t="str">
        <f>HYPERLINK("https://www.google.com/search?tbm=isch&amp;q=Netherlands+Kinderdijk+Windmills", "Kinderdijk Windmills")</f>
        <v>Kinderdijk Windmills</v>
      </c>
      <c r="G123" t="str">
        <f>HYPERLINK("https://www.google.com/search?tbm=isch&amp;q=Netherlands+Van+Gogh+Museum", "Van Gogh Museum")</f>
        <v>Van Gogh Museum</v>
      </c>
    </row>
    <row r="124" spans="1:7" x14ac:dyDescent="0.3">
      <c r="A124" t="s">
        <v>129</v>
      </c>
      <c r="B124" t="s">
        <v>325</v>
      </c>
      <c r="C124" t="str">
        <f>HYPERLINK("https://www.google.com/search?tbm=isch&amp;q=New+Zealand+Milford+Sound", "Milford Sound")</f>
        <v>Milford Sound</v>
      </c>
      <c r="D124" t="str">
        <f>HYPERLINK("https://www.google.com/search?tbm=isch&amp;q=New+Zealand+Hobbiton+Movie+Set", "Hobbiton Movie Set")</f>
        <v>Hobbiton Movie Set</v>
      </c>
      <c r="E124" t="str">
        <f>HYPERLINK("https://www.google.com/search?tbm=isch&amp;q=New+Zealand+Rotorua+Geothermal+Area", "Rotorua Geothermal Area")</f>
        <v>Rotorua Geothermal Area</v>
      </c>
      <c r="F124" t="str">
        <f>HYPERLINK("https://www.google.com/search?tbm=isch&amp;q=New+Zealand+Tongariro+Alpine+Crossing", "Tongariro Alpine Crossing")</f>
        <v>Tongariro Alpine Crossing</v>
      </c>
      <c r="G124" t="str">
        <f>HYPERLINK("https://www.google.com/search?tbm=isch&amp;q=New+Zealand+Franz+Josef+Glacier", "Franz Josef Glacier")</f>
        <v>Franz Josef Glacier</v>
      </c>
    </row>
    <row r="125" spans="1:7" x14ac:dyDescent="0.3">
      <c r="A125" t="s">
        <v>130</v>
      </c>
      <c r="B125" t="s">
        <v>326</v>
      </c>
      <c r="C125" t="str">
        <f>HYPERLINK("https://www.google.com/search?tbm=isch&amp;q=Nicaragua+Granada+Islets", "Granada Islets")</f>
        <v>Granada Islets</v>
      </c>
      <c r="D125" t="str">
        <f>HYPERLINK("https://www.google.com/search?tbm=isch&amp;q=Nicaragua+Masaya+Volcano", "Masaya Volcano")</f>
        <v>Masaya Volcano</v>
      </c>
      <c r="E125" t="str">
        <f>HYPERLINK("https://www.google.com/search?tbm=isch&amp;q=Nicaragua+Ometepe+Island", "Ometepe Island")</f>
        <v>Ometepe Island</v>
      </c>
      <c r="F125" t="str">
        <f>HYPERLINK("https://www.google.com/search?tbm=isch&amp;q=Nicaragua+Leon+Cathedral", "Leon Cathedral")</f>
        <v>Leon Cathedral</v>
      </c>
      <c r="G125" t="str">
        <f>HYPERLINK("https://www.google.com/search?tbm=isch&amp;q=Nicaragua+San+Juan+del+Sur+Beach", "San Juan del Sur Beach")</f>
        <v>San Juan del Sur Beach</v>
      </c>
    </row>
    <row r="126" spans="1:7" x14ac:dyDescent="0.3">
      <c r="A126" t="s">
        <v>131</v>
      </c>
      <c r="B126" t="s">
        <v>327</v>
      </c>
      <c r="C126" t="str">
        <f>HYPERLINK("https://www.google.com/search?tbm=isch&amp;q=Niger+Air+and+Ténéré+Natural+Reserves", "Air and Ténéré Natural Reserves")</f>
        <v>Air and Ténéré Natural Reserves</v>
      </c>
      <c r="D126" t="str">
        <f>HYPERLINK("https://www.google.com/search?tbm=isch&amp;q=Niger+W+National+Park+Niger", "W National Park Niger")</f>
        <v>W National Park Niger</v>
      </c>
      <c r="E126" t="str">
        <f>HYPERLINK("https://www.google.com/search?tbm=isch&amp;q=Niger+Agadez+Mosque", "Agadez Mosque")</f>
        <v>Agadez Mosque</v>
      </c>
      <c r="F126" t="str">
        <f>HYPERLINK("https://www.google.com/search?tbm=isch&amp;q=Niger+Zinder+Sultan's+Palace", "Zinder Sultan's Palace")</f>
        <v>Zinder Sultan's Palace</v>
      </c>
      <c r="G126" t="str">
        <f>HYPERLINK("https://www.google.com/search?tbm=isch&amp;q=Niger+Niamey+Grand+Mosque", "Niamey Grand Mosque")</f>
        <v>Niamey Grand Mosque</v>
      </c>
    </row>
    <row r="127" spans="1:7" x14ac:dyDescent="0.3">
      <c r="A127" t="s">
        <v>132</v>
      </c>
      <c r="B127" t="s">
        <v>328</v>
      </c>
      <c r="C127" t="str">
        <f>HYPERLINK("https://www.google.com/search?tbm=isch&amp;q=Nigeria+Zuma+Rock", "Zuma Rock")</f>
        <v>Zuma Rock</v>
      </c>
      <c r="D127" t="str">
        <f>HYPERLINK("https://www.google.com/search?tbm=isch&amp;q=Nigeria+Yankari+Game+Reserve", "Yankari Game Reserve")</f>
        <v>Yankari Game Reserve</v>
      </c>
      <c r="E127" t="str">
        <f>HYPERLINK("https://www.google.com/search?tbm=isch&amp;q=Nigeria+Osun-Osogbo+Sacred+Grove", "Osun-Osogbo Sacred Grove")</f>
        <v>Osun-Osogbo Sacred Grove</v>
      </c>
      <c r="F127" t="str">
        <f>HYPERLINK("https://www.google.com/search?tbm=isch&amp;q=Nigeria+Olumo+Rock", "Olumo Rock")</f>
        <v>Olumo Rock</v>
      </c>
      <c r="G127" t="str">
        <f>HYPERLINK("https://www.google.com/search?tbm=isch&amp;q=Nigeria+Lekki+Conservation+Centre", "Lekki Conservation Centre")</f>
        <v>Lekki Conservation Centre</v>
      </c>
    </row>
    <row r="128" spans="1:7" x14ac:dyDescent="0.3">
      <c r="A128" t="s">
        <v>133</v>
      </c>
      <c r="B128" t="s">
        <v>329</v>
      </c>
      <c r="C128" t="str">
        <f>HYPERLINK("https://www.google.com/search?tbm=isch&amp;q=North+Korea+Juche+Tower", "Juche Tower")</f>
        <v>Juche Tower</v>
      </c>
      <c r="D128" t="str">
        <f>HYPERLINK("https://www.google.com/search?tbm=isch&amp;q=North+Korea+Kumsusan+Palace+of+the+Sun", "Kumsusan Palace of the Sun")</f>
        <v>Kumsusan Palace of the Sun</v>
      </c>
      <c r="E128" t="str">
        <f>HYPERLINK("https://www.google.com/search?tbm=isch&amp;q=North+Korea+Mount+Paektu", "Mount Paektu")</f>
        <v>Mount Paektu</v>
      </c>
      <c r="F128" t="str">
        <f>HYPERLINK("https://www.google.com/search?tbm=isch&amp;q=North+Korea+Myohyang+Mountains", "Myohyang Mountains")</f>
        <v>Myohyang Mountains</v>
      </c>
      <c r="G128" t="str">
        <f>HYPERLINK("https://www.google.com/search?tbm=isch&amp;q=North+Korea+DMZ+Panmunjom", "DMZ Panmunjom")</f>
        <v>DMZ Panmunjom</v>
      </c>
    </row>
    <row r="129" spans="1:7" x14ac:dyDescent="0.3">
      <c r="A129" t="s">
        <v>134</v>
      </c>
      <c r="B129" t="s">
        <v>330</v>
      </c>
      <c r="C129" t="str">
        <f>HYPERLINK("https://www.google.com/search?tbm=isch&amp;q=North+Macedonia+Lake+Ohrid", "Lake Ohrid")</f>
        <v>Lake Ohrid</v>
      </c>
      <c r="D129" t="str">
        <f>HYPERLINK("https://www.google.com/search?tbm=isch&amp;q=North+Macedonia+Skopje+Fortress", "Skopje Fortress")</f>
        <v>Skopje Fortress</v>
      </c>
      <c r="E129" t="str">
        <f>HYPERLINK("https://www.google.com/search?tbm=isch&amp;q=North+Macedonia+Matka+Canyon", "Matka Canyon")</f>
        <v>Matka Canyon</v>
      </c>
      <c r="F129" t="str">
        <f>HYPERLINK("https://www.google.com/search?tbm=isch&amp;q=North+Macedonia+Samuel's+Fortress", "Samuel's Fortress")</f>
        <v>Samuel's Fortress</v>
      </c>
      <c r="G129" t="str">
        <f>HYPERLINK("https://www.google.com/search?tbm=isch&amp;q=North+Macedonia+Stobi+Archaeological+Site", "Stobi Archaeological Site")</f>
        <v>Stobi Archaeological Site</v>
      </c>
    </row>
    <row r="130" spans="1:7" x14ac:dyDescent="0.3">
      <c r="A130" t="s">
        <v>135</v>
      </c>
      <c r="B130" t="s">
        <v>331</v>
      </c>
      <c r="C130" t="str">
        <f>HYPERLINK("https://www.google.com/search?tbm=isch&amp;q=Norway+Geirangerfjord", "Geirangerfjord")</f>
        <v>Geirangerfjord</v>
      </c>
      <c r="D130" t="str">
        <f>HYPERLINK("https://www.google.com/search?tbm=isch&amp;q=Norway+Lofoten+Islands", "Lofoten Islands")</f>
        <v>Lofoten Islands</v>
      </c>
      <c r="E130" t="str">
        <f>HYPERLINK("https://www.google.com/search?tbm=isch&amp;q=Norway+Bryggen+Bergen", "Bryggen Bergen")</f>
        <v>Bryggen Bergen</v>
      </c>
      <c r="F130" t="str">
        <f>HYPERLINK("https://www.google.com/search?tbm=isch&amp;q=Norway+Preikestolen+(Pulpit+Rock)", "Preikestolen (Pulpit Rock)")</f>
        <v>Preikestolen (Pulpit Rock)</v>
      </c>
      <c r="G130" t="str">
        <f>HYPERLINK("https://www.google.com/search?tbm=isch&amp;q=Norway+Vigeland+Sculpture+Park", "Vigeland Sculpture Park")</f>
        <v>Vigeland Sculpture Park</v>
      </c>
    </row>
    <row r="131" spans="1:7" x14ac:dyDescent="0.3">
      <c r="A131" t="s">
        <v>136</v>
      </c>
      <c r="B131" t="s">
        <v>332</v>
      </c>
      <c r="C131" t="str">
        <f>HYPERLINK("https://www.google.com/search?tbm=isch&amp;q=Oman+Sultan+Qaboos+Grand+Mosque", "Sultan Qaboos Grand Mosque")</f>
        <v>Sultan Qaboos Grand Mosque</v>
      </c>
      <c r="D131" t="str">
        <f>HYPERLINK("https://www.google.com/search?tbm=isch&amp;q=Oman+Wadi+Shab", "Wadi Shab")</f>
        <v>Wadi Shab</v>
      </c>
      <c r="E131" t="str">
        <f>HYPERLINK("https://www.google.com/search?tbm=isch&amp;q=Oman+Nizwa+Fort", "Nizwa Fort")</f>
        <v>Nizwa Fort</v>
      </c>
      <c r="F131" t="str">
        <f>HYPERLINK("https://www.google.com/search?tbm=isch&amp;q=Oman+Wahiba+Sands", "Wahiba Sands")</f>
        <v>Wahiba Sands</v>
      </c>
      <c r="G131" t="str">
        <f>HYPERLINK("https://www.google.com/search?tbm=isch&amp;q=Oman+Jebel+Akhdar", "Jebel Akhdar")</f>
        <v>Jebel Akhdar</v>
      </c>
    </row>
    <row r="132" spans="1:7" x14ac:dyDescent="0.3">
      <c r="A132" t="s">
        <v>137</v>
      </c>
      <c r="B132" t="s">
        <v>333</v>
      </c>
      <c r="C132" t="str">
        <f>HYPERLINK("https://www.google.com/search?tbm=isch&amp;q=Pakistan+Badshahi+Mosque", "Badshahi Mosque")</f>
        <v>Badshahi Mosque</v>
      </c>
      <c r="D132" t="str">
        <f>HYPERLINK("https://www.google.com/search?tbm=isch&amp;q=Pakistan+Faisal+Mosque", "Faisal Mosque")</f>
        <v>Faisal Mosque</v>
      </c>
      <c r="E132" t="str">
        <f>HYPERLINK("https://www.google.com/search?tbm=isch&amp;q=Pakistan+Hunza+Valley", "Hunza Valley")</f>
        <v>Hunza Valley</v>
      </c>
      <c r="F132" t="str">
        <f>HYPERLINK("https://www.google.com/search?tbm=isch&amp;q=Pakistan+Lahore+Fort", "Lahore Fort")</f>
        <v>Lahore Fort</v>
      </c>
      <c r="G132" t="str">
        <f>HYPERLINK("https://www.google.com/search?tbm=isch&amp;q=Pakistan+K2+Base+Camp", "K2 Base Camp")</f>
        <v>K2 Base Camp</v>
      </c>
    </row>
    <row r="133" spans="1:7" x14ac:dyDescent="0.3">
      <c r="A133" t="s">
        <v>138</v>
      </c>
      <c r="B133" t="s">
        <v>334</v>
      </c>
      <c r="C133" t="str">
        <f>HYPERLINK("https://www.google.com/search?tbm=isch&amp;q=Palau+Jellyfish+Lake", "Jellyfish Lake")</f>
        <v>Jellyfish Lake</v>
      </c>
      <c r="D133" t="str">
        <f>HYPERLINK("https://www.google.com/search?tbm=isch&amp;q=Palau+Rock+Islands+Southern+Lagoon", "Rock Islands Southern Lagoon")</f>
        <v>Rock Islands Southern Lagoon</v>
      </c>
      <c r="E133" t="str">
        <f>HYPERLINK("https://www.google.com/search?tbm=isch&amp;q=Palau+Milky+Way+Palau", "Milky Way Palau")</f>
        <v>Milky Way Palau</v>
      </c>
      <c r="F133" t="str">
        <f>HYPERLINK("https://www.google.com/search?tbm=isch&amp;q=Palau+Ngardmau+Waterfall", "Ngardmau Waterfall")</f>
        <v>Ngardmau Waterfall</v>
      </c>
      <c r="G133" t="str">
        <f>HYPERLINK("https://www.google.com/search?tbm=isch&amp;q=Palau+Peleliu+Battlefield", "Peleliu Battlefield")</f>
        <v>Peleliu Battlefield</v>
      </c>
    </row>
    <row r="134" spans="1:7" x14ac:dyDescent="0.3">
      <c r="A134" t="s">
        <v>139</v>
      </c>
      <c r="B134" t="s">
        <v>335</v>
      </c>
      <c r="C134" t="str">
        <f>HYPERLINK("https://www.google.com/search?tbm=isch&amp;q=Palestine+Church+of+the+Nativity", "Church of the Nativity")</f>
        <v>Church of the Nativity</v>
      </c>
      <c r="D134" t="str">
        <f>HYPERLINK("https://www.google.com/search?tbm=isch&amp;q=Palestine+Dome+of+the+Rock", "Dome of the Rock")</f>
        <v>Dome of the Rock</v>
      </c>
      <c r="E134" t="str">
        <f>HYPERLINK("https://www.google.com/search?tbm=isch&amp;q=Palestine+Old+City+of+Hebron", "Old City of Hebron")</f>
        <v>Old City of Hebron</v>
      </c>
      <c r="F134" t="str">
        <f>HYPERLINK("https://www.google.com/search?tbm=isch&amp;q=Palestine+Hisham's+Palace", "Hisham's Palace")</f>
        <v>Hisham's Palace</v>
      </c>
      <c r="G134" t="str">
        <f>HYPERLINK("https://www.google.com/search?tbm=isch&amp;q=Palestine+Mar+Saba+Monastery", "Mar Saba Monastery")</f>
        <v>Mar Saba Monastery</v>
      </c>
    </row>
    <row r="135" spans="1:7" x14ac:dyDescent="0.3">
      <c r="A135" t="s">
        <v>140</v>
      </c>
      <c r="B135" t="s">
        <v>336</v>
      </c>
      <c r="C135" t="str">
        <f>HYPERLINK("https://www.google.com/search?tbm=isch&amp;q=Panama+Panama+Canal", "Panama Canal")</f>
        <v>Panama Canal</v>
      </c>
      <c r="D135" t="str">
        <f>HYPERLINK("https://www.google.com/search?tbm=isch&amp;q=Panama+Casco+Viejo+Panama", "Casco Viejo Panama")</f>
        <v>Casco Viejo Panama</v>
      </c>
      <c r="E135" t="str">
        <f>HYPERLINK("https://www.google.com/search?tbm=isch&amp;q=Panama+San+Blas+Islands", "San Blas Islands")</f>
        <v>San Blas Islands</v>
      </c>
      <c r="F135" t="str">
        <f>HYPERLINK("https://www.google.com/search?tbm=isch&amp;q=Panama+Bocas+del+Toro", "Bocas del Toro")</f>
        <v>Bocas del Toro</v>
      </c>
      <c r="G135" t="str">
        <f>HYPERLINK("https://www.google.com/search?tbm=isch&amp;q=Panama+Volcan+Baru", "Volcan Baru")</f>
        <v>Volcan Baru</v>
      </c>
    </row>
    <row r="136" spans="1:7" x14ac:dyDescent="0.3">
      <c r="A136" t="s">
        <v>141</v>
      </c>
      <c r="B136" t="s">
        <v>337</v>
      </c>
      <c r="C136" t="str">
        <f>HYPERLINK("https://www.google.com/search?tbm=isch&amp;q=Papua+New+Guinea+Kokoda+Track", "Kokoda Track")</f>
        <v>Kokoda Track</v>
      </c>
      <c r="D136" t="str">
        <f>HYPERLINK("https://www.google.com/search?tbm=isch&amp;q=Papua+New+Guinea+Tavurvur+Volcano", "Tavurvur Volcano")</f>
        <v>Tavurvur Volcano</v>
      </c>
      <c r="E136" t="str">
        <f>HYPERLINK("https://www.google.com/search?tbm=isch&amp;q=Papua+New+Guinea+Varirata+National+Park", "Varirata National Park")</f>
        <v>Varirata National Park</v>
      </c>
      <c r="F136" t="str">
        <f>HYPERLINK("https://www.google.com/search?tbm=isch&amp;q=Papua+New+Guinea+Kitava+Island", "Kitava Island")</f>
        <v>Kitava Island</v>
      </c>
      <c r="G136" t="str">
        <f>HYPERLINK("https://www.google.com/search?tbm=isch&amp;q=Papua+New+Guinea+Sepik+River+River+Basin", "Sepik River River Basin")</f>
        <v>Sepik River River Basin</v>
      </c>
    </row>
    <row r="137" spans="1:7" x14ac:dyDescent="0.3">
      <c r="A137" t="s">
        <v>142</v>
      </c>
      <c r="B137" t="s">
        <v>338</v>
      </c>
      <c r="C137" t="str">
        <f>HYPERLINK("https://www.google.com/search?tbm=isch&amp;q=Paraguay+Jesuit+Missions+of+La+Santísima+Trinidad", "Jesuit Missions of La Santísima Trinidad")</f>
        <v>Jesuit Missions of La Santísima Trinidad</v>
      </c>
      <c r="D137" t="str">
        <f>HYPERLINK("https://www.google.com/search?tbm=isch&amp;q=Paraguay+Itaipu+Dam", "Itaipu Dam")</f>
        <v>Itaipu Dam</v>
      </c>
      <c r="E137" t="str">
        <f>HYPERLINK("https://www.google.com/search?tbm=isch&amp;q=Paraguay+Ybycuí+National+Park", "Ybycuí National Park")</f>
        <v>Ybycuí National Park</v>
      </c>
      <c r="F137" t="str">
        <f>HYPERLINK("https://www.google.com/search?tbm=isch&amp;q=Paraguay+Panteón+Nacional+de+los+Héroes", "Panteón Nacional de los Héroes")</f>
        <v>Panteón Nacional de los Héroes</v>
      </c>
      <c r="G137" t="str">
        <f>HYPERLINK("https://www.google.com/search?tbm=isch&amp;q=Paraguay+Lake+Ypacaraí", "Lake Ypacaraí")</f>
        <v>Lake Ypacaraí</v>
      </c>
    </row>
    <row r="138" spans="1:7" x14ac:dyDescent="0.3">
      <c r="A138" t="s">
        <v>143</v>
      </c>
      <c r="B138" t="s">
        <v>339</v>
      </c>
      <c r="C138" t="str">
        <f>HYPERLINK("https://www.google.com/search?tbm=isch&amp;q=Peru+Machu+Picchu", "Machu Picchu")</f>
        <v>Machu Picchu</v>
      </c>
      <c r="D138" t="str">
        <f>HYPERLINK("https://www.google.com/search?tbm=isch&amp;q=Peru+Inca+Trail", "Inca Trail")</f>
        <v>Inca Trail</v>
      </c>
      <c r="E138" t="str">
        <f>HYPERLINK("https://www.google.com/search?tbm=isch&amp;q=Peru+Sacred+Valley", "Sacred Valley")</f>
        <v>Sacred Valley</v>
      </c>
      <c r="F138" t="str">
        <f>HYPERLINK("https://www.google.com/search?tbm=isch&amp;q=Peru+Lake+Titicaca+Peru", "Lake Titicaca Peru")</f>
        <v>Lake Titicaca Peru</v>
      </c>
      <c r="G138" t="str">
        <f>HYPERLINK("https://www.google.com/search?tbm=isch&amp;q=Peru+Nazca+Lines", "Nazca Lines")</f>
        <v>Nazca Lines</v>
      </c>
    </row>
    <row r="139" spans="1:7" x14ac:dyDescent="0.3">
      <c r="A139" t="s">
        <v>144</v>
      </c>
      <c r="B139" t="s">
        <v>340</v>
      </c>
      <c r="C139" t="str">
        <f>HYPERLINK("https://www.google.com/search?tbm=isch&amp;q=Philippines+Chocolate+Hills", "Chocolate Hills")</f>
        <v>Chocolate Hills</v>
      </c>
      <c r="D139" t="str">
        <f>HYPERLINK("https://www.google.com/search?tbm=isch&amp;q=Philippines+Underground+River+Puerto+Princesa", "Underground River Puerto Princesa")</f>
        <v>Underground River Puerto Princesa</v>
      </c>
      <c r="E139" t="str">
        <f>HYPERLINK("https://www.google.com/search?tbm=isch&amp;q=Philippines+Boracay+White+Beach", "Boracay White Beach")</f>
        <v>Boracay White Beach</v>
      </c>
      <c r="F139" t="str">
        <f>HYPERLINK("https://www.google.com/search?tbm=isch&amp;q=Philippines+El+Nido+Palawan", "El Nido Palawan")</f>
        <v>El Nido Palawan</v>
      </c>
      <c r="G139" t="str">
        <f>HYPERLINK("https://www.google.com/search?tbm=isch&amp;q=Philippines+Mayon+Volcano", "Mayon Volcano")</f>
        <v>Mayon Volcano</v>
      </c>
    </row>
    <row r="140" spans="1:7" x14ac:dyDescent="0.3">
      <c r="A140" t="s">
        <v>145</v>
      </c>
      <c r="B140" t="s">
        <v>341</v>
      </c>
      <c r="C140" t="str">
        <f>HYPERLINK("https://www.google.com/search?tbm=isch&amp;q=Poland+Main+Market+Square+Kraków", "Main Market Square Kraków")</f>
        <v>Main Market Square Kraków</v>
      </c>
      <c r="D140" t="str">
        <f>HYPERLINK("https://www.google.com/search?tbm=isch&amp;q=Poland+Auschwitz-Birkenau", "Auschwitz-Birkenau")</f>
        <v>Auschwitz-Birkenau</v>
      </c>
      <c r="E140" t="str">
        <f>HYPERLINK("https://www.google.com/search?tbm=isch&amp;q=Poland+Wieliczka+Salt+Mine", "Wieliczka Salt Mine")</f>
        <v>Wieliczka Salt Mine</v>
      </c>
      <c r="F140" t="str">
        <f>HYPERLINK("https://www.google.com/search?tbm=isch&amp;q=Poland+Malbork+Castle", "Malbork Castle")</f>
        <v>Malbork Castle</v>
      </c>
      <c r="G140" t="str">
        <f>HYPERLINK("https://www.google.com/search?tbm=isch&amp;q=Poland+Białowieża+Forest", "Białowieża Forest")</f>
        <v>Białowieża Forest</v>
      </c>
    </row>
    <row r="141" spans="1:7" x14ac:dyDescent="0.3">
      <c r="A141" t="s">
        <v>146</v>
      </c>
      <c r="B141" t="s">
        <v>342</v>
      </c>
      <c r="C141" t="str">
        <f>HYPERLINK("https://www.google.com/search?tbm=isch&amp;q=Portugal+Pena+Palace+Sintra", "Pena Palace Sintra")</f>
        <v>Pena Palace Sintra</v>
      </c>
      <c r="D141" t="str">
        <f>HYPERLINK("https://www.google.com/search?tbm=isch&amp;q=Portugal+Belém+Tower+Lisbon", "Belém Tower Lisbon")</f>
        <v>Belém Tower Lisbon</v>
      </c>
      <c r="E141" t="str">
        <f>HYPERLINK("https://www.google.com/search?tbm=isch&amp;q=Portugal+Jerónimos+Monastery", "Jerónimos Monastery")</f>
        <v>Jerónimos Monastery</v>
      </c>
      <c r="F141" t="str">
        <f>HYPERLINK("https://www.google.com/search?tbm=isch&amp;q=Portugal+Algarve+Caves", "Algarve Caves")</f>
        <v>Algarve Caves</v>
      </c>
      <c r="G141" t="str">
        <f>HYPERLINK("https://www.google.com/search?tbm=isch&amp;q=Portugal+Douro+Valley", "Douro Valley")</f>
        <v>Douro Valley</v>
      </c>
    </row>
    <row r="142" spans="1:7" x14ac:dyDescent="0.3">
      <c r="A142" t="s">
        <v>147</v>
      </c>
      <c r="B142" t="s">
        <v>343</v>
      </c>
      <c r="C142" t="str">
        <f>HYPERLINK("https://www.google.com/search?tbm=isch&amp;q=Qatar+Souq+Waqif", "Souq Waqif")</f>
        <v>Souq Waqif</v>
      </c>
      <c r="D142" t="str">
        <f>HYPERLINK("https://www.google.com/search?tbm=isch&amp;q=Qatar+Museum+of+Islamic+Art", "Museum of Islamic Art")</f>
        <v>Museum of Islamic Art</v>
      </c>
      <c r="E142" t="str">
        <f>HYPERLINK("https://www.google.com/search?tbm=isch&amp;q=Qatar+The+Pearl-Qatar", "The Pearl-Qatar")</f>
        <v>The Pearl-Qatar</v>
      </c>
      <c r="F142" t="str">
        <f>HYPERLINK("https://www.google.com/search?tbm=isch&amp;q=Qatar+Khor+Al+Adaid+(Inland+Sea)", "Khor Al Adaid (Inland Sea)")</f>
        <v>Khor Al Adaid (Inland Sea)</v>
      </c>
      <c r="G142" t="str">
        <f>HYPERLINK("https://www.google.com/search?tbm=isch&amp;q=Qatar+Katara+Cultural+Village", "Katara Cultural Village")</f>
        <v>Katara Cultural Village</v>
      </c>
    </row>
    <row r="143" spans="1:7" x14ac:dyDescent="0.3">
      <c r="A143" t="s">
        <v>148</v>
      </c>
      <c r="B143" t="s">
        <v>344</v>
      </c>
      <c r="C143" t="str">
        <f>HYPERLINK("https://www.google.com/search?tbm=isch&amp;q=Romania+Bran+Castle+(Dracula's+Castle)", "Bran Castle (Dracula's Castle)")</f>
        <v>Bran Castle (Dracula's Castle)</v>
      </c>
      <c r="D143" t="str">
        <f>HYPERLINK("https://www.google.com/search?tbm=isch&amp;q=Romania+Peleș+Castle", "Peleș Castle")</f>
        <v>Peleș Castle</v>
      </c>
      <c r="E143" t="str">
        <f>HYPERLINK("https://www.google.com/search?tbm=isch&amp;q=Romania+Transfăgărășan+Highway", "Transfăgărășan Highway")</f>
        <v>Transfăgărășan Highway</v>
      </c>
      <c r="F143" t="str">
        <f>HYPERLINK("https://www.google.com/search?tbm=isch&amp;q=Romania+Danube+Delta", "Danube Delta")</f>
        <v>Danube Delta</v>
      </c>
      <c r="G143" t="str">
        <f>HYPERLINK("https://www.google.com/search?tbm=isch&amp;q=Romania+Sighişoara+Citadel", "Sighişoara Citadel")</f>
        <v>Sighişoara Citadel</v>
      </c>
    </row>
    <row r="144" spans="1:7" x14ac:dyDescent="0.3">
      <c r="A144" t="s">
        <v>149</v>
      </c>
      <c r="B144" t="s">
        <v>345</v>
      </c>
      <c r="C144" t="str">
        <f>HYPERLINK("https://www.google.com/search?tbm=isch&amp;q=Russia+Red+Square", "Red Square")</f>
        <v>Red Square</v>
      </c>
      <c r="D144" t="str">
        <f>HYPERLINK("https://www.google.com/search?tbm=isch&amp;q=Russia+Hermitage+Museum", "Hermitage Museum")</f>
        <v>Hermitage Museum</v>
      </c>
      <c r="E144" t="str">
        <f>HYPERLINK("https://www.google.com/search?tbm=isch&amp;q=Russia+Saint+Basil's+Cathedral", "Saint Basil's Cathedral")</f>
        <v>Saint Basil's Cathedral</v>
      </c>
      <c r="F144" t="str">
        <f>HYPERLINK("https://www.google.com/search?tbm=isch&amp;q=Russia+Lake+Baikal", "Lake Baikal")</f>
        <v>Lake Baikal</v>
      </c>
      <c r="G144" t="str">
        <f>HYPERLINK("https://www.google.com/search?tbm=isch&amp;q=Russia+Peterhof+Palace", "Peterhof Palace")</f>
        <v>Peterhof Palace</v>
      </c>
    </row>
    <row r="145" spans="1:7" x14ac:dyDescent="0.3">
      <c r="A145" t="s">
        <v>150</v>
      </c>
      <c r="B145" t="s">
        <v>346</v>
      </c>
      <c r="C145" t="str">
        <f>HYPERLINK("https://www.google.com/search?tbm=isch&amp;q=Rwanda+Volcanoes+National+Park", "Volcanoes National Park")</f>
        <v>Volcanoes National Park</v>
      </c>
      <c r="D145" t="str">
        <f>HYPERLINK("https://www.google.com/search?tbm=isch&amp;q=Rwanda+Nyungwe+Forest", "Nyungwe Forest")</f>
        <v>Nyungwe Forest</v>
      </c>
      <c r="E145" t="str">
        <f>HYPERLINK("https://www.google.com/search?tbm=isch&amp;q=Rwanda+Akagera+National+Park", "Akagera National Park")</f>
        <v>Akagera National Park</v>
      </c>
      <c r="F145" t="str">
        <f>HYPERLINK("https://www.google.com/search?tbm=isch&amp;q=Rwanda+Kigali+Genocide+Memorial", "Kigali Genocide Memorial")</f>
        <v>Kigali Genocide Memorial</v>
      </c>
      <c r="G145" t="str">
        <f>HYPERLINK("https://www.google.com/search?tbm=isch&amp;q=Rwanda+Lake+Kivu", "Lake Kivu")</f>
        <v>Lake Kivu</v>
      </c>
    </row>
    <row r="146" spans="1:7" x14ac:dyDescent="0.3">
      <c r="A146" t="s">
        <v>151</v>
      </c>
      <c r="B146" t="s">
        <v>347</v>
      </c>
      <c r="C146" t="str">
        <f>HYPERLINK("https://www.google.com/search?tbm=isch&amp;q=Saint+Kitts+and+Nevis+Brimstone+Hill+Fortress", "Brimstone Hill Fortress")</f>
        <v>Brimstone Hill Fortress</v>
      </c>
      <c r="D146" t="str">
        <f>HYPERLINK("https://www.google.com/search?tbm=isch&amp;q=Saint+Kitts+and+Nevis+Nevis+Peak", "Nevis Peak")</f>
        <v>Nevis Peak</v>
      </c>
      <c r="E146" t="str">
        <f>HYPERLINK("https://www.google.com/search?tbm=isch&amp;q=Saint+Kitts+and+Nevis+South+Friars+Bay", "South Friars Bay")</f>
        <v>South Friars Bay</v>
      </c>
      <c r="F146" t="str">
        <f>HYPERLINK("https://www.google.com/search?tbm=isch&amp;q=Saint+Kitts+and+Nevis+Romney+Manor", "Romney Manor")</f>
        <v>Romney Manor</v>
      </c>
      <c r="G146" t="str">
        <f>HYPERLINK("https://www.google.com/search?tbm=isch&amp;q=Saint+Kitts+and+Nevis+Pinney's+Beach", "Pinney's Beach")</f>
        <v>Pinney's Beach</v>
      </c>
    </row>
    <row r="147" spans="1:7" x14ac:dyDescent="0.3">
      <c r="A147" t="s">
        <v>152</v>
      </c>
      <c r="B147" t="s">
        <v>348</v>
      </c>
      <c r="C147" t="str">
        <f>HYPERLINK("https://www.google.com/search?tbm=isch&amp;q=Saint+Lucia+The+Pitons", "The Pitons")</f>
        <v>The Pitons</v>
      </c>
      <c r="D147" t="str">
        <f>HYPERLINK("https://www.google.com/search?tbm=isch&amp;q=Saint+Lucia+Sulphur+Springs+Soufriere", "Sulphur Springs Soufriere")</f>
        <v>Sulphur Springs Soufriere</v>
      </c>
      <c r="E147" t="str">
        <f>HYPERLINK("https://www.google.com/search?tbm=isch&amp;q=Saint+Lucia+Marigot+Bay", "Marigot Bay")</f>
        <v>Marigot Bay</v>
      </c>
      <c r="F147" t="str">
        <f>HYPERLINK("https://www.google.com/search?tbm=isch&amp;q=Saint+Lucia+Pigeon+Island+National+Park", "Pigeon Island National Park")</f>
        <v>Pigeon Island National Park</v>
      </c>
      <c r="G147" t="str">
        <f>HYPERLINK("https://www.google.com/search?tbm=isch&amp;q=Saint+Lucia+Anse+Chastanet", "Anse Chastanet")</f>
        <v>Anse Chastanet</v>
      </c>
    </row>
    <row r="148" spans="1:7" x14ac:dyDescent="0.3">
      <c r="A148" t="s">
        <v>153</v>
      </c>
      <c r="B148" t="s">
        <v>349</v>
      </c>
      <c r="C148" t="str">
        <f>HYPERLINK("https://www.google.com/search?tbm=isch&amp;q=Saint+Vincent+and+the+Grenadines+Tobago+Cays", "Tobago Cays")</f>
        <v>Tobago Cays</v>
      </c>
      <c r="D148" t="str">
        <f>HYPERLINK("https://www.google.com/search?tbm=isch&amp;q=Saint+Vincent+and+the+Grenadines+La+Soufrière+Volcano", "La Soufrière Volcano")</f>
        <v>La Soufrière Volcano</v>
      </c>
      <c r="E148" t="str">
        <f>HYPERLINK("https://www.google.com/search?tbm=isch&amp;q=Saint+Vincent+and+the+Grenadines+Mustique+Island", "Mustique Island")</f>
        <v>Mustique Island</v>
      </c>
      <c r="F148" t="str">
        <f>HYPERLINK("https://www.google.com/search?tbm=isch&amp;q=Saint+Vincent+and+the+Grenadines+Dark+View+Falls", "Dark View Falls")</f>
        <v>Dark View Falls</v>
      </c>
      <c r="G148" t="str">
        <f>HYPERLINK("https://www.google.com/search?tbm=isch&amp;q=Saint+Vincent+and+the+Grenadines+Fort+Charlotte+St.+Vincent", "Fort Charlotte St. Vincent")</f>
        <v>Fort Charlotte St. Vincent</v>
      </c>
    </row>
    <row r="149" spans="1:7" x14ac:dyDescent="0.3">
      <c r="A149" t="s">
        <v>154</v>
      </c>
      <c r="B149" t="s">
        <v>350</v>
      </c>
      <c r="C149" t="str">
        <f>HYPERLINK("https://www.google.com/search?tbm=isch&amp;q=Samoa+To+Sua+Ocean+Trench", "To Sua Ocean Trench")</f>
        <v>To Sua Ocean Trench</v>
      </c>
      <c r="D149" t="str">
        <f>HYPERLINK("https://www.google.com/search?tbm=isch&amp;q=Samoa+Lalomanu+Beach", "Lalomanu Beach")</f>
        <v>Lalomanu Beach</v>
      </c>
      <c r="E149" t="str">
        <f>HYPERLINK("https://www.google.com/search?tbm=isch&amp;q=Samoa+Alofaaga+Blowholes", "Alofaaga Blowholes")</f>
        <v>Alofaaga Blowholes</v>
      </c>
      <c r="F149" t="str">
        <f>HYPERLINK("https://www.google.com/search?tbm=isch&amp;q=Samoa+Robert+Louis+Stevenson+Museum", "Robert Louis Stevenson Museum")</f>
        <v>Robert Louis Stevenson Museum</v>
      </c>
      <c r="G149" t="str">
        <f>HYPERLINK("https://www.google.com/search?tbm=isch&amp;q=Samoa+Piula+Cave+Pool", "Piula Cave Pool")</f>
        <v>Piula Cave Pool</v>
      </c>
    </row>
    <row r="150" spans="1:7" x14ac:dyDescent="0.3">
      <c r="A150" t="s">
        <v>155</v>
      </c>
      <c r="B150" t="s">
        <v>351</v>
      </c>
      <c r="C150" t="str">
        <f>HYPERLINK("https://www.google.com/search?tbm=isch&amp;q=San+Marino+Three+Towers+of+San+Marino", "Three Towers of San Marino")</f>
        <v>Three Towers of San Marino</v>
      </c>
      <c r="D150" t="str">
        <f>HYPERLINK("https://www.google.com/search?tbm=isch&amp;q=San+Marino+Piazza+della+Libertà", "Piazza della Libertà")</f>
        <v>Piazza della Libertà</v>
      </c>
      <c r="E150" t="str">
        <f>HYPERLINK("https://www.google.com/search?tbm=isch&amp;q=San+Marino+Basilica+di+San+Marino", "Basilica di San Marino")</f>
        <v>Basilica di San Marino</v>
      </c>
      <c r="F150" t="str">
        <f>HYPERLINK("https://www.google.com/search?tbm=isch&amp;q=San+Marino+Monte+Titano", "Monte Titano")</f>
        <v>Monte Titano</v>
      </c>
      <c r="G150" t="str">
        <f>HYPERLINK("https://www.google.com/search?tbm=isch&amp;q=San+Marino+State+Museum+of+San+Marino", "State Museum of San Marino")</f>
        <v>State Museum of San Marino</v>
      </c>
    </row>
    <row r="151" spans="1:7" x14ac:dyDescent="0.3">
      <c r="A151" t="s">
        <v>156</v>
      </c>
      <c r="B151" t="s">
        <v>352</v>
      </c>
      <c r="C151" t="str">
        <f>HYPERLINK("https://www.google.com/search?tbm=isch&amp;q=Sao+Tome+and+Principe+Obo+National+Park", "Obo National Park")</f>
        <v>Obo National Park</v>
      </c>
      <c r="D151" t="str">
        <f>HYPERLINK("https://www.google.com/search?tbm=isch&amp;q=Sao+Tome+and+Principe+Boca+do+Inferno+Sao+Tome", "Boca do Inferno Sao Tome")</f>
        <v>Boca do Inferno Sao Tome</v>
      </c>
      <c r="E151" t="str">
        <f>HYPERLINK("https://www.google.com/search?tbm=isch&amp;q=Sao+Tome+and+Principe+Pico+Cão+Grande", "Pico Cão Grande")</f>
        <v>Pico Cão Grande</v>
      </c>
      <c r="F151" t="str">
        <f>HYPERLINK("https://www.google.com/search?tbm=isch&amp;q=Sao+Tome+and+Principe+Banana+Beach+Principe", "Banana Beach Principe")</f>
        <v>Banana Beach Principe</v>
      </c>
      <c r="G151" t="str">
        <f>HYPERLINK("https://www.google.com/search?tbm=isch&amp;q=Sao+Tome+and+Principe+Chocola+Factory+Claudio+Corallo", "Chocola Factory Claudio Corallo")</f>
        <v>Chocola Factory Claudio Corallo</v>
      </c>
    </row>
    <row r="152" spans="1:7" x14ac:dyDescent="0.3">
      <c r="A152" t="s">
        <v>157</v>
      </c>
      <c r="B152" t="s">
        <v>353</v>
      </c>
      <c r="C152" t="str">
        <f>HYPERLINK("https://www.google.com/search?tbm=isch&amp;q=Saudi+Arabia+Al-Ula+(Madain+Saleh)", "Al-Ula (Madain Saleh)")</f>
        <v>Al-Ula (Madain Saleh)</v>
      </c>
      <c r="D152" t="str">
        <f>HYPERLINK("https://www.google.com/search?tbm=isch&amp;q=Saudi+Arabia+Kingdom+Centre+Tower", "Kingdom Centre Tower")</f>
        <v>Kingdom Centre Tower</v>
      </c>
      <c r="E152" t="str">
        <f>HYPERLINK("https://www.google.com/search?tbm=isch&amp;q=Saudi+Arabia+Kaaba+Mecca", "Kaaba Mecca")</f>
        <v>Kaaba Mecca</v>
      </c>
      <c r="F152" t="str">
        <f>HYPERLINK("https://www.google.com/search?tbm=isch&amp;q=Saudi+Arabia+Al-Balad+Jeddah", "Al-Balad Jeddah")</f>
        <v>Al-Balad Jeddah</v>
      </c>
      <c r="G152" t="str">
        <f>HYPERLINK("https://www.google.com/search?tbm=isch&amp;q=Saudi+Arabia+Edge+of+the+World+Riyadh", "Edge of the World Riyadh")</f>
        <v>Edge of the World Riyadh</v>
      </c>
    </row>
    <row r="153" spans="1:7" x14ac:dyDescent="0.3">
      <c r="A153" t="s">
        <v>158</v>
      </c>
      <c r="B153" t="s">
        <v>354</v>
      </c>
      <c r="C153" t="str">
        <f>HYPERLINK("https://www.google.com/search?tbm=isch&amp;q=Senegal+Goree+Island", "Goree Island")</f>
        <v>Goree Island</v>
      </c>
      <c r="D153" t="str">
        <f>HYPERLINK("https://www.google.com/search?tbm=isch&amp;q=Senegal+Lake+Retba+(Pink+Lake)", "Lake Retba (Pink Lake)")</f>
        <v>Lake Retba (Pink Lake)</v>
      </c>
      <c r="E153" t="str">
        <f>HYPERLINK("https://www.google.com/search?tbm=isch&amp;q=Senegal+Djoudj+National+Bird+Sanctuary", "Djoudj National Bird Sanctuary")</f>
        <v>Djoudj National Bird Sanctuary</v>
      </c>
      <c r="F153" t="str">
        <f>HYPERLINK("https://www.google.com/search?tbm=isch&amp;q=Senegal+Niokolo-Koba+National+Park", "Niokolo-Koba National Park")</f>
        <v>Niokolo-Koba National Park</v>
      </c>
      <c r="G153" t="str">
        <f>HYPERLINK("https://www.google.com/search?tbm=isch&amp;q=Senegal+African+Renaissance+Monument", "African Renaissance Monument")</f>
        <v>African Renaissance Monument</v>
      </c>
    </row>
    <row r="154" spans="1:7" x14ac:dyDescent="0.3">
      <c r="A154" t="s">
        <v>159</v>
      </c>
      <c r="B154" t="s">
        <v>355</v>
      </c>
      <c r="C154" t="str">
        <f>HYPERLINK("https://www.google.com/search?tbm=isch&amp;q=Serbia+Belgrade+Fortress", "Belgrade Fortress")</f>
        <v>Belgrade Fortress</v>
      </c>
      <c r="D154" t="str">
        <f>HYPERLINK("https://www.google.com/search?tbm=isch&amp;q=Serbia+Church+of+Saint+Sava", "Church of Saint Sava")</f>
        <v>Church of Saint Sava</v>
      </c>
      <c r="E154" t="str">
        <f>HYPERLINK("https://www.google.com/search?tbm=isch&amp;q=Serbia+Đavolja+Varoš+(Devil's+Town)", "Đavolja Varoš (Devil's Town)")</f>
        <v>Đavolja Varoš (Devil's Town)</v>
      </c>
      <c r="F154" t="str">
        <f>HYPERLINK("https://www.google.com/search?tbm=isch&amp;q=Serbia+Studenica+Monastery", "Studenica Monastery")</f>
        <v>Studenica Monastery</v>
      </c>
      <c r="G154" t="str">
        <f>HYPERLINK("https://www.google.com/search?tbm=isch&amp;q=Serbia+Derdape+National+Park+(Iron+Gates)", "Derdape National Park (Iron Gates)")</f>
        <v>Derdape National Park (Iron Gates)</v>
      </c>
    </row>
    <row r="155" spans="1:7" x14ac:dyDescent="0.3">
      <c r="A155" t="s">
        <v>160</v>
      </c>
      <c r="B155" t="s">
        <v>356</v>
      </c>
      <c r="C155" t="str">
        <f>HYPERLINK("https://www.google.com/search?tbm=isch&amp;q=Seychelles+Anse+Source+d'Argent", "Anse Source d'Argent")</f>
        <v>Anse Source d'Argent</v>
      </c>
      <c r="D155" t="str">
        <f>HYPERLINK("https://www.google.com/search?tbm=isch&amp;q=Seychelles+Vallée+de+Mai", "Vallée de Mai")</f>
        <v>Vallée de Mai</v>
      </c>
      <c r="E155" t="str">
        <f>HYPERLINK("https://www.google.com/search?tbm=isch&amp;q=Seychelles+Aldabra+Atoll", "Aldabra Atoll")</f>
        <v>Aldabra Atoll</v>
      </c>
      <c r="F155" t="str">
        <f>HYPERLINK("https://www.google.com/search?tbm=isch&amp;q=Seychelles+Beau+Vallon+Beach", "Beau Vallon Beach")</f>
        <v>Beau Vallon Beach</v>
      </c>
      <c r="G155" t="str">
        <f>HYPERLINK("https://www.google.com/search?tbm=isch&amp;q=Seychelles+Morne+Seychellois+National+Park", "Morne Seychellois National Park")</f>
        <v>Morne Seychellois National Park</v>
      </c>
    </row>
    <row r="156" spans="1:7" x14ac:dyDescent="0.3">
      <c r="A156" t="s">
        <v>161</v>
      </c>
      <c r="B156" t="s">
        <v>357</v>
      </c>
      <c r="C156" t="str">
        <f>HYPERLINK("https://www.google.com/search?tbm=isch&amp;q=Sierra+Leone+Bunce+Island", "Bunce Island")</f>
        <v>Bunce Island</v>
      </c>
      <c r="D156" t="str">
        <f>HYPERLINK("https://www.google.com/search?tbm=isch&amp;q=Sierra+Leone+Tacugama+Chimpanzee+Sanctuary", "Tacugama Chimpanzee Sanctuary")</f>
        <v>Tacugama Chimpanzee Sanctuary</v>
      </c>
      <c r="E156" t="str">
        <f>HYPERLINK("https://www.google.com/search?tbm=isch&amp;q=Sierra+Leone+River+Number+Two+Beach", "River Number Two Beach")</f>
        <v>River Number Two Beach</v>
      </c>
      <c r="F156" t="str">
        <f>HYPERLINK("https://www.google.com/search?tbm=isch&amp;q=Sierra+Leone+Tiwai+Island+Wildlife+Sanctuary", "Tiwai Island Wildlife Sanctuary")</f>
        <v>Tiwai Island Wildlife Sanctuary</v>
      </c>
      <c r="G156" t="str">
        <f>HYPERLINK("https://www.google.com/search?tbm=isch&amp;q=Sierra+Leone+Outamba-Kilimi+National+Park", "Outamba-Kilimi National Park")</f>
        <v>Outamba-Kilimi National Park</v>
      </c>
    </row>
    <row r="157" spans="1:7" x14ac:dyDescent="0.3">
      <c r="A157" t="s">
        <v>162</v>
      </c>
      <c r="B157" t="s">
        <v>358</v>
      </c>
      <c r="C157" t="str">
        <f>HYPERLINK("https://www.google.com/search?tbm=isch&amp;q=Singapore+Gardens+by+the+Bay", "Gardens by the Bay")</f>
        <v>Gardens by the Bay</v>
      </c>
      <c r="D157" t="str">
        <f>HYPERLINK("https://www.google.com/search?tbm=isch&amp;q=Singapore+Marina+Bay+Sands", "Marina Bay Sands")</f>
        <v>Marina Bay Sands</v>
      </c>
      <c r="E157" t="str">
        <f>HYPERLINK("https://www.google.com/search?tbm=isch&amp;q=Singapore+Sentosa+Island", "Sentosa Island")</f>
        <v>Sentosa Island</v>
      </c>
      <c r="F157" t="str">
        <f>HYPERLINK("https://www.google.com/search?tbm=isch&amp;q=Singapore+Universal+Studios+Singapore", "Universal Studios Singapore")</f>
        <v>Universal Studios Singapore</v>
      </c>
      <c r="G157" t="str">
        <f>HYPERLINK("https://www.google.com/search?tbm=isch&amp;q=Singapore+Singapore+Botanic+Gardens", "Singapore Botanic Gardens")</f>
        <v>Singapore Botanic Gardens</v>
      </c>
    </row>
    <row r="158" spans="1:7" x14ac:dyDescent="0.3">
      <c r="A158" t="s">
        <v>163</v>
      </c>
      <c r="B158" t="s">
        <v>359</v>
      </c>
      <c r="C158" t="str">
        <f>HYPERLINK("https://www.google.com/search?tbm=isch&amp;q=Slovakia+Bratislava+Castle", "Bratislava Castle")</f>
        <v>Bratislava Castle</v>
      </c>
      <c r="D158" t="str">
        <f>HYPERLINK("https://www.google.com/search?tbm=isch&amp;q=Slovakia+Spiš+Castle", "Spiš Castle")</f>
        <v>Spiš Castle</v>
      </c>
      <c r="E158" t="str">
        <f>HYPERLINK("https://www.google.com/search?tbm=isch&amp;q=Slovakia+High+Tatras+Mountains", "High Tatras Mountains")</f>
        <v>High Tatras Mountains</v>
      </c>
      <c r="F158" t="str">
        <f>HYPERLINK("https://www.google.com/search?tbm=isch&amp;q=Slovakia+Božnice+Castle+/+Bojnice+Castle", "Božnice Castle / Bojnice Castle")</f>
        <v>Božnice Castle / Bojnice Castle</v>
      </c>
      <c r="G158" t="str">
        <f>HYPERLINK("https://www.google.com/search?tbm=isch&amp;q=Slovakia+Vlkolínec+Village", "Vlkolínec Village")</f>
        <v>Vlkolínec Village</v>
      </c>
    </row>
    <row r="159" spans="1:7" x14ac:dyDescent="0.3">
      <c r="A159" t="s">
        <v>164</v>
      </c>
      <c r="B159" t="s">
        <v>360</v>
      </c>
      <c r="C159" t="str">
        <f>HYPERLINK("https://www.google.com/search?tbm=isch&amp;q=Slovenia+Lake+Bled", "Lake Bled")</f>
        <v>Lake Bled</v>
      </c>
      <c r="D159" t="str">
        <f>HYPERLINK("https://www.google.com/search?tbm=isch&amp;q=Slovenia+Postojna+Cave", "Postojna Cave")</f>
        <v>Postojna Cave</v>
      </c>
      <c r="E159" t="str">
        <f>HYPERLINK("https://www.google.com/search?tbm=isch&amp;q=Slovenia+Ljubljana+Castle", "Ljubljana Castle")</f>
        <v>Ljubljana Castle</v>
      </c>
      <c r="F159" t="str">
        <f>HYPERLINK("https://www.google.com/search?tbm=isch&amp;q=Slovenia+Triglav+National+Park", "Triglav National Park")</f>
        <v>Triglav National Park</v>
      </c>
      <c r="G159" t="str">
        <f>HYPERLINK("https://www.google.com/search?tbm=isch&amp;q=Slovenia+Predjama+Castle", "Predjama Castle")</f>
        <v>Predjama Castle</v>
      </c>
    </row>
    <row r="160" spans="1:7" x14ac:dyDescent="0.3">
      <c r="A160" t="s">
        <v>165</v>
      </c>
      <c r="B160" t="s">
        <v>361</v>
      </c>
      <c r="C160" t="str">
        <f>HYPERLINK("https://www.google.com/search?tbm=isch&amp;q=Solomon+Islands+Rennell+Island", "Rennell Island")</f>
        <v>Rennell Island</v>
      </c>
      <c r="D160" t="str">
        <f>HYPERLINK("https://www.google.com/search?tbm=isch&amp;q=Solomon+Islands+Bonegi+Wrecks", "Bonegi Wrecks")</f>
        <v>Bonegi Wrecks</v>
      </c>
      <c r="E160" t="str">
        <f>HYPERLINK("https://www.google.com/search?tbm=isch&amp;q=Solomon+Islands+Marovo+Lagoon", "Marovo Lagoon")</f>
        <v>Marovo Lagoon</v>
      </c>
      <c r="F160" t="str">
        <f>HYPERLINK("https://www.google.com/search?tbm=isch&amp;q=Solomon+Islands+Kennedy+Island", "Kennedy Island")</f>
        <v>Kennedy Island</v>
      </c>
      <c r="G160" t="str">
        <f>HYPERLINK("https://www.google.com/search?tbm=isch&amp;q=Solomon+Islands+Guadalcanal+American+Memorial", "Guadalcanal American Memorial")</f>
        <v>Guadalcanal American Memorial</v>
      </c>
    </row>
    <row r="161" spans="1:7" x14ac:dyDescent="0.3">
      <c r="A161" t="s">
        <v>166</v>
      </c>
      <c r="B161" t="s">
        <v>362</v>
      </c>
      <c r="C161" t="str">
        <f>HYPERLINK("https://www.google.com/search?tbm=isch&amp;q=Somalia+Laas+Geel", "Laas Geel")</f>
        <v>Laas Geel</v>
      </c>
      <c r="D161" t="str">
        <f>HYPERLINK("https://www.google.com/search?tbm=isch&amp;q=Somalia+Liido+Beach+Mogadishu", "Liido Beach Mogadishu")</f>
        <v>Liido Beach Mogadishu</v>
      </c>
      <c r="E161" t="str">
        <f>HYPERLINK("https://www.google.com/search?tbm=isch&amp;q=Somalia+Lag+Badana+National+Park", "Lag Badana National Park")</f>
        <v>Lag Badana National Park</v>
      </c>
      <c r="F161" t="str">
        <f>HYPERLINK("https://www.google.com/search?tbm=isch&amp;q=Somalia+Shanghai+Old+City+Mogadishu", "Shanghai Old City Mogadishu")</f>
        <v>Shanghai Old City Mogadishu</v>
      </c>
      <c r="G161" t="str">
        <f>HYPERLINK("https://www.google.com/search?tbm=isch&amp;q=Somalia+Kismayo+National+Park", "Kismayo National Park")</f>
        <v>Kismayo National Park</v>
      </c>
    </row>
    <row r="162" spans="1:7" x14ac:dyDescent="0.3">
      <c r="A162" t="s">
        <v>167</v>
      </c>
      <c r="B162" t="s">
        <v>363</v>
      </c>
      <c r="C162" t="str">
        <f>HYPERLINK("https://www.google.com/search?tbm=isch&amp;q=South+Africa+Table+Mountain", "Table Mountain")</f>
        <v>Table Mountain</v>
      </c>
      <c r="D162" t="str">
        <f>HYPERLINK("https://www.google.com/search?tbm=isch&amp;q=South+Africa+Kruger+National+Park", "Kruger National Park")</f>
        <v>Kruger National Park</v>
      </c>
      <c r="E162" t="str">
        <f>HYPERLINK("https://www.google.com/search?tbm=isch&amp;q=South+Africa+Robben+Island", "Robben Island")</f>
        <v>Robben Island</v>
      </c>
      <c r="F162" t="str">
        <f>HYPERLINK("https://www.google.com/search?tbm=isch&amp;q=South+Africa+Cape+of+Good+Hope", "Cape of Good Hope")</f>
        <v>Cape of Good Hope</v>
      </c>
      <c r="G162" t="str">
        <f>HYPERLINK("https://www.google.com/search?tbm=isch&amp;q=South+Africa+Boulders+Beach", "Boulders Beach")</f>
        <v>Boulders Beach</v>
      </c>
    </row>
    <row r="163" spans="1:7" x14ac:dyDescent="0.3">
      <c r="A163" t="s">
        <v>168</v>
      </c>
      <c r="B163" t="s">
        <v>364</v>
      </c>
      <c r="C163" t="str">
        <f>HYPERLINK("https://www.google.com/search?tbm=isch&amp;q=South+Korea+Gyeongbokgung+Palace", "Gyeongbokgung Palace")</f>
        <v>Gyeongbokgung Palace</v>
      </c>
      <c r="D163" t="str">
        <f>HYPERLINK("https://www.google.com/search?tbm=isch&amp;q=South+Korea+N+Seoul+Tower", "N Seoul Tower")</f>
        <v>N Seoul Tower</v>
      </c>
      <c r="E163" t="str">
        <f>HYPERLINK("https://www.google.com/search?tbm=isch&amp;q=South+Korea+Jeju+Island+Volcanic+Wonders", "Jeju Island Volcanic Wonders")</f>
        <v>Jeju Island Volcanic Wonders</v>
      </c>
      <c r="F163" t="str">
        <f>HYPERLINK("https://www.google.com/search?tbm=isch&amp;q=South+Korea+Bukchon+Hanok+Village", "Bukchon Hanok Village")</f>
        <v>Bukchon Hanok Village</v>
      </c>
      <c r="G163" t="str">
        <f>HYPERLINK("https://www.google.com/search?tbm=isch&amp;q=South+Korea+Bulguksa+Temple", "Bulguksa Temple")</f>
        <v>Bulguksa Temple</v>
      </c>
    </row>
    <row r="164" spans="1:7" x14ac:dyDescent="0.3">
      <c r="A164" t="s">
        <v>169</v>
      </c>
      <c r="B164" t="s">
        <v>365</v>
      </c>
      <c r="C164" t="str">
        <f>HYPERLINK("https://www.google.com/search?tbm=isch&amp;q=South+Sudan+Bandingilo+National+Park", "Bandingilo National Park")</f>
        <v>Bandingilo National Park</v>
      </c>
      <c r="D164" t="str">
        <f>HYPERLINK("https://www.google.com/search?tbm=isch&amp;q=South+Sudan+Boma+National+Park", "Boma National Park")</f>
        <v>Boma National Park</v>
      </c>
      <c r="E164" t="str">
        <f>HYPERLINK("https://www.google.com/search?tbm=isch&amp;q=South+Sudan+The+Sudd+Wetland", "The Sudd Wetland")</f>
        <v>The Sudd Wetland</v>
      </c>
      <c r="F164" t="str">
        <f>HYPERLINK("https://www.google.com/search?tbm=isch&amp;q=South+Sudan+Nimule+National+Park", "Nimule National Park")</f>
        <v>Nimule National Park</v>
      </c>
      <c r="G164" t="str">
        <f>HYPERLINK("https://www.google.com/search?tbm=isch&amp;q=South+Sudan+Wau+Cathedral", "Wau Cathedral")</f>
        <v>Wau Cathedral</v>
      </c>
    </row>
    <row r="165" spans="1:7" x14ac:dyDescent="0.3">
      <c r="A165" t="s">
        <v>170</v>
      </c>
      <c r="B165" t="s">
        <v>366</v>
      </c>
      <c r="C165" t="str">
        <f>HYPERLINK("https://www.google.com/search?tbm=isch&amp;q=Spain+Sagrada+Família", "Sagrada Família")</f>
        <v>Sagrada Família</v>
      </c>
      <c r="D165" t="str">
        <f>HYPERLINK("https://www.google.com/search?tbm=isch&amp;q=Spain+Alhambra+Palace", "Alhambra Palace")</f>
        <v>Alhambra Palace</v>
      </c>
      <c r="E165" t="str">
        <f>HYPERLINK("https://www.google.com/search?tbm=isch&amp;q=Spain+Park+Güell", "Park Güell")</f>
        <v>Park Güell</v>
      </c>
      <c r="F165" t="str">
        <f>HYPERLINK("https://www.google.com/search?tbm=isch&amp;q=Spain+Prado+Museum", "Prado Museum")</f>
        <v>Prado Museum</v>
      </c>
      <c r="G165" t="str">
        <f>HYPERLINK("https://www.google.com/search?tbm=isch&amp;q=Spain+Alcázar+of+Seville", "Alcázar of Seville")</f>
        <v>Alcázar of Seville</v>
      </c>
    </row>
    <row r="166" spans="1:7" x14ac:dyDescent="0.3">
      <c r="A166" t="s">
        <v>171</v>
      </c>
      <c r="B166" t="s">
        <v>367</v>
      </c>
      <c r="C166" t="str">
        <f>HYPERLINK("https://www.google.com/search?tbm=isch&amp;q=Sri+Lanka+Sigiriya+Rock+Fortress", "Sigiriya Rock Fortress")</f>
        <v>Sigiriya Rock Fortress</v>
      </c>
      <c r="D166" t="str">
        <f>HYPERLINK("https://www.google.com/search?tbm=isch&amp;q=Sri+Lanka+Temple+of+the+Tooth+Kandy", "Temple of the Tooth Kandy")</f>
        <v>Temple of the Tooth Kandy</v>
      </c>
      <c r="E166" t="str">
        <f>HYPERLINK("https://www.google.com/search?tbm=isch&amp;q=Sri+Lanka+Yala+National+Park", "Yala National Park")</f>
        <v>Yala National Park</v>
      </c>
      <c r="F166" t="str">
        <f>HYPERLINK("https://www.google.com/search?tbm=isch&amp;q=Sri+Lanka+Galle+Fort", "Galle Fort")</f>
        <v>Galle Fort</v>
      </c>
      <c r="G166" t="str">
        <f>HYPERLINK("https://www.google.com/search?tbm=isch&amp;q=Sri+Lanka+Galle+Face+Green", "Galle Face Green")</f>
        <v>Galle Face Green</v>
      </c>
    </row>
    <row r="167" spans="1:7" x14ac:dyDescent="0.3">
      <c r="A167" t="s">
        <v>172</v>
      </c>
      <c r="B167" t="s">
        <v>368</v>
      </c>
      <c r="C167" t="str">
        <f>HYPERLINK("https://www.google.com/search?tbm=isch&amp;q=Sudan+Meroe+Pyramids", "Meroe Pyramids")</f>
        <v>Meroe Pyramids</v>
      </c>
      <c r="D167" t="str">
        <f>HYPERLINK("https://www.google.com/search?tbm=isch&amp;q=Sudan+Jebel+Barkal", "Jebel Barkal")</f>
        <v>Jebel Barkal</v>
      </c>
      <c r="E167" t="str">
        <f>HYPERLINK("https://www.google.com/search?tbm=isch&amp;q=Sudan+Sanganeb+National+Park", "Sanganeb National Park")</f>
        <v>Sanganeb National Park</v>
      </c>
      <c r="F167" t="str">
        <f>HYPERLINK("https://www.google.com/search?tbm=isch&amp;q=Sudan+National+Museum+of+Sudan", "National Museum of Sudan")</f>
        <v>National Museum of Sudan</v>
      </c>
      <c r="G167" t="str">
        <f>HYPERLINK("https://www.google.com/search?tbm=isch&amp;q=Sudan+Tomb+of+the+Mahdi", "Tomb of the Mahdi")</f>
        <v>Tomb of the Mahdi</v>
      </c>
    </row>
    <row r="168" spans="1:7" x14ac:dyDescent="0.3">
      <c r="A168" t="s">
        <v>173</v>
      </c>
      <c r="B168" t="s">
        <v>369</v>
      </c>
      <c r="C168" t="str">
        <f>HYPERLINK("https://www.google.com/search?tbm=isch&amp;q=Suriname+Central+Suriname+Nature+Reserve", "Central Suriname Nature Reserve")</f>
        <v>Central Suriname Nature Reserve</v>
      </c>
      <c r="D168" t="str">
        <f>HYPERLINK("https://www.google.com/search?tbm=isch&amp;q=Suriname+Paramaribo+Historic+Inner+City", "Paramaribo Historic Inner City")</f>
        <v>Paramaribo Historic Inner City</v>
      </c>
      <c r="E168" t="str">
        <f>HYPERLINK("https://www.google.com/search?tbm=isch&amp;q=Suriname+Brownsberg+Nature+Park", "Brownsberg Nature Park")</f>
        <v>Brownsberg Nature Park</v>
      </c>
      <c r="F168" t="str">
        <f>HYPERLINK("https://www.google.com/search?tbm=isch&amp;q=Suriname+Galibi+Nature+Reserve", "Galibi Nature Reserve")</f>
        <v>Galibi Nature Reserve</v>
      </c>
      <c r="G168" t="str">
        <f>HYPERLINK("https://www.google.com/search?tbm=isch&amp;q=Suriname+Saint+Peter+and+Paul+Cathedral", "Saint Peter and Paul Cathedral")</f>
        <v>Saint Peter and Paul Cathedral</v>
      </c>
    </row>
    <row r="169" spans="1:7" x14ac:dyDescent="0.3">
      <c r="A169" t="s">
        <v>174</v>
      </c>
      <c r="B169" t="s">
        <v>370</v>
      </c>
      <c r="C169" t="str">
        <f>HYPERLINK("https://www.google.com/search?tbm=isch&amp;q=Sweden+Vasa+Museum", "Vasa Museum")</f>
        <v>Vasa Museum</v>
      </c>
      <c r="D169" t="str">
        <f>HYPERLINK("https://www.google.com/search?tbm=isch&amp;q=Sweden+Gamla+Stan+Stockholm", "Gamla Stan Stockholm")</f>
        <v>Gamla Stan Stockholm</v>
      </c>
      <c r="E169" t="str">
        <f>HYPERLINK("https://www.google.com/search?tbm=isch&amp;q=Sweden+Stockholm+Palace", "Stockholm Palace")</f>
        <v>Stockholm Palace</v>
      </c>
      <c r="F169" t="str">
        <f>HYPERLINK("https://www.google.com/search?tbm=isch&amp;q=Sweden+Abisko+National+Park+Aurora", "Abisko National Park Aurora")</f>
        <v>Abisko National Park Aurora</v>
      </c>
      <c r="G169" t="str">
        <f>HYPERLINK("https://www.google.com/search?tbm=isch&amp;q=Sweden+Drottningholm+Palace", "Drottningholm Palace")</f>
        <v>Drottningholm Palace</v>
      </c>
    </row>
    <row r="170" spans="1:7" x14ac:dyDescent="0.3">
      <c r="A170" t="s">
        <v>175</v>
      </c>
      <c r="B170" t="s">
        <v>371</v>
      </c>
      <c r="C170" t="str">
        <f>HYPERLINK("https://www.google.com/search?tbm=isch&amp;q=Switzerland+Matterhorn", "Matterhorn")</f>
        <v>Matterhorn</v>
      </c>
      <c r="D170" t="str">
        <f>HYPERLINK("https://www.google.com/search?tbm=isch&amp;q=Switzerland+Jungfraujoch", "Jungfraujoch")</f>
        <v>Jungfraujoch</v>
      </c>
      <c r="E170" t="str">
        <f>HYPERLINK("https://www.google.com/search?tbm=isch&amp;q=Switzerland+Chillon+Castle", "Chillon Castle")</f>
        <v>Chillon Castle</v>
      </c>
      <c r="F170" t="str">
        <f>HYPERLINK("https://www.google.com/search?tbm=isch&amp;q=Switzerland+Lake+Geneva", "Lake Geneva")</f>
        <v>Lake Geneva</v>
      </c>
      <c r="G170" t="str">
        <f>HYPERLINK("https://www.google.com/search?tbm=isch&amp;q=Switzerland+Lucerne+Chapel+Bridge", "Lucerne Chapel Bridge")</f>
        <v>Lucerne Chapel Bridge</v>
      </c>
    </row>
    <row r="171" spans="1:7" x14ac:dyDescent="0.3">
      <c r="A171" t="s">
        <v>176</v>
      </c>
      <c r="B171" t="s">
        <v>372</v>
      </c>
      <c r="C171" t="str">
        <f>HYPERLINK("https://www.google.com/search?tbm=isch&amp;q=Syria+Ancient+City+of+Palmyra", "Ancient City of Palmyra")</f>
        <v>Ancient City of Palmyra</v>
      </c>
      <c r="D171" t="str">
        <f>HYPERLINK("https://www.google.com/search?tbm=isch&amp;q=Syria+Crac+des+Chevaliers", "Crac des Chevaliers")</f>
        <v>Crac des Chevaliers</v>
      </c>
      <c r="E171" t="str">
        <f>HYPERLINK("https://www.google.com/search?tbm=isch&amp;q=Syria+Umayyad+Mosque+Damascus", "Umayyad Mosque Damascus")</f>
        <v>Umayyad Mosque Damascus</v>
      </c>
      <c r="F171" t="str">
        <f>HYPERLINK("https://www.google.com/search?tbm=isch&amp;q=Syria+Citadel+of+Aleppo", "Citadel of Aleppo")</f>
        <v>Citadel of Aleppo</v>
      </c>
      <c r="G171" t="str">
        <f>HYPERLINK("https://www.google.com/search?tbm=isch&amp;q=Syria+Ancient+City+of+Bosra", "Ancient City of Bosra")</f>
        <v>Ancient City of Bosra</v>
      </c>
    </row>
    <row r="172" spans="1:7" x14ac:dyDescent="0.3">
      <c r="A172" t="s">
        <v>177</v>
      </c>
      <c r="B172" t="s">
        <v>373</v>
      </c>
      <c r="C172" t="str">
        <f>HYPERLINK("https://www.google.com/search?tbm=isch&amp;q=Taiwan+Taipei+101", "Taipei 101")</f>
        <v>Taipei 101</v>
      </c>
      <c r="D172" t="str">
        <f>HYPERLINK("https://www.google.com/search?tbm=isch&amp;q=Taiwan+Taroko+Gorge", "Taroko Gorge")</f>
        <v>Taroko Gorge</v>
      </c>
      <c r="E172" t="str">
        <f>HYPERLINK("https://www.google.com/search?tbm=isch&amp;q=Taiwan+Sun+Moon+Lake", "Sun Moon Lake")</f>
        <v>Sun Moon Lake</v>
      </c>
      <c r="F172" t="str">
        <f>HYPERLINK("https://www.google.com/search?tbm=isch&amp;q=Taiwan+National+Palace+Museum+Taipei", "National Palace Museum Taipei")</f>
        <v>National Palace Museum Taipei</v>
      </c>
      <c r="G172" t="str">
        <f>HYPERLINK("https://www.google.com/search?tbm=isch&amp;q=Taiwan+Jiufen+Old+Street", "Jiufen Old Street")</f>
        <v>Jiufen Old Street</v>
      </c>
    </row>
    <row r="173" spans="1:7" x14ac:dyDescent="0.3">
      <c r="A173" t="s">
        <v>178</v>
      </c>
      <c r="B173" t="s">
        <v>374</v>
      </c>
      <c r="C173" t="str">
        <f>HYPERLINK("https://www.google.com/search?tbm=isch&amp;q=Tajikistan+Iskanderkul+Lake", "Iskanderkul Lake")</f>
        <v>Iskanderkul Lake</v>
      </c>
      <c r="D173" t="str">
        <f>HYPERLINK("https://www.google.com/search?tbm=isch&amp;q=Tajikistan+Pamir+Highway", "Pamir Highway")</f>
        <v>Pamir Highway</v>
      </c>
      <c r="E173" t="str">
        <f>HYPERLINK("https://www.google.com/search?tbm=isch&amp;q=Tajikistan+Rudaki+Park+Dushanbe", "Rudaki Park Dushanbe")</f>
        <v>Rudaki Park Dushanbe</v>
      </c>
      <c r="F173" t="str">
        <f>HYPERLINK("https://www.google.com/search?tbm=isch&amp;q=Tajikistan+Fann+Mountains", "Fann Mountains")</f>
        <v>Fann Mountains</v>
      </c>
      <c r="G173" t="str">
        <f>HYPERLINK("https://www.google.com/search?tbm=isch&amp;q=Tajikistan+Hissar+Fortress", "Hissar Fortress")</f>
        <v>Hissar Fortress</v>
      </c>
    </row>
    <row r="174" spans="1:7" x14ac:dyDescent="0.3">
      <c r="A174" t="s">
        <v>179</v>
      </c>
      <c r="B174" t="s">
        <v>375</v>
      </c>
      <c r="C174" t="str">
        <f>HYPERLINK("https://www.google.com/search?tbm=isch&amp;q=Tanzania+Mount+Kilimanjaro", "Mount Kilimanjaro")</f>
        <v>Mount Kilimanjaro</v>
      </c>
      <c r="D174" t="str">
        <f>HYPERLINK("https://www.google.com/search?tbm=isch&amp;q=Tanzania+Serengeti+National+Park", "Serengeti National Park")</f>
        <v>Serengeti National Park</v>
      </c>
      <c r="E174" t="str">
        <f>HYPERLINK("https://www.google.com/search?tbm=isch&amp;q=Tanzania+Ngorongoro+Crater", "Ngorongoro Crater")</f>
        <v>Ngorongoro Crater</v>
      </c>
      <c r="F174" t="str">
        <f>HYPERLINK("https://www.google.com/search?tbm=isch&amp;q=Tanzania+Zanzibar+Stone+Town", "Zanzibar Stone Town")</f>
        <v>Zanzibar Stone Town</v>
      </c>
      <c r="G174" t="str">
        <f>HYPERLINK("https://www.google.com/search?tbm=isch&amp;q=Tanzania+Nyerere+National+Park", "Nyerere National Park")</f>
        <v>Nyerere National Park</v>
      </c>
    </row>
    <row r="175" spans="1:7" x14ac:dyDescent="0.3">
      <c r="A175" t="s">
        <v>180</v>
      </c>
      <c r="B175" t="s">
        <v>376</v>
      </c>
      <c r="C175" t="str">
        <f>HYPERLINK("https://www.google.com/search?tbm=isch&amp;q=Thailand+The+Grand+Palace+Bangkok", "The Grand Palace Bangkok")</f>
        <v>The Grand Palace Bangkok</v>
      </c>
      <c r="D175" t="str">
        <f>HYPERLINK("https://www.google.com/search?tbm=isch&amp;q=Thailand+Wat+Arun", "Wat Arun")</f>
        <v>Wat Arun</v>
      </c>
      <c r="E175" t="str">
        <f>HYPERLINK("https://www.google.com/search?tbm=isch&amp;q=Thailand+Phi+Phi+Islands", "Phi Phi Islands")</f>
        <v>Phi Phi Islands</v>
      </c>
      <c r="F175" t="str">
        <f>HYPERLINK("https://www.google.com/search?tbm=isch&amp;q=Thailand+Chiang+Mai+Old+City+Temples", "Chiang Mai Old City Temples")</f>
        <v>Chiang Mai Old City Temples</v>
      </c>
      <c r="G175" t="str">
        <f>HYPERLINK("https://www.google.com/search?tbm=isch&amp;q=Thailand+Railay+Beach", "Railay Beach")</f>
        <v>Railay Beach</v>
      </c>
    </row>
    <row r="176" spans="1:7" x14ac:dyDescent="0.3">
      <c r="A176" t="s">
        <v>181</v>
      </c>
      <c r="B176" t="s">
        <v>377</v>
      </c>
      <c r="C176" t="str">
        <f>HYPERLINK("https://www.google.com/search?tbm=isch&amp;q=Timor-Leste+Cristo+Rei+of+Dili", "Cristo Rei of Dili")</f>
        <v>Cristo Rei of Dili</v>
      </c>
      <c r="D176" t="str">
        <f>HYPERLINK("https://www.google.com/search?tbm=isch&amp;q=Timor-Leste+Atauro+Island+Reef", "Atauro Island Reef")</f>
        <v>Atauro Island Reef</v>
      </c>
      <c r="E176" t="str">
        <f>HYPERLINK("https://www.google.com/search?tbm=isch&amp;q=Timor-Leste+Mount+Ramelau", "Mount Ramelau")</f>
        <v>Mount Ramelau</v>
      </c>
      <c r="F176" t="str">
        <f>HYPERLINK("https://www.google.com/search?tbm=isch&amp;q=Timor-Leste+Marobo+Hot+Springs", "Marobo Hot Springs")</f>
        <v>Marobo Hot Springs</v>
      </c>
      <c r="G176" t="str">
        <f>HYPERLINK("https://www.google.com/search?tbm=isch&amp;q=Timor-Leste+Jaco+Island+Beach", "Jaco Island Beach")</f>
        <v>Jaco Island Beach</v>
      </c>
    </row>
    <row r="177" spans="1:7" x14ac:dyDescent="0.3">
      <c r="A177" t="s">
        <v>182</v>
      </c>
      <c r="B177" t="s">
        <v>378</v>
      </c>
      <c r="C177" t="str">
        <f>HYPERLINK("https://www.google.com/search?tbm=isch&amp;q=Togo+Koutammakou+Batammariba", "Koutammakou Batammariba")</f>
        <v>Koutammakou Batammariba</v>
      </c>
      <c r="D177" t="str">
        <f>HYPERLINK("https://www.google.com/search?tbm=isch&amp;q=Togo+Lake+Togo", "Lake Togo")</f>
        <v>Lake Togo</v>
      </c>
      <c r="E177" t="str">
        <f>HYPERLINK("https://www.google.com/search?tbm=isch&amp;q=Togo+Cascade+de+Kpime", "Cascade de Kpime")</f>
        <v>Cascade de Kpime</v>
      </c>
      <c r="F177" t="str">
        <f>HYPERLINK("https://www.google.com/search?tbm=isch&amp;q=Togo+Grand+Marche+Lome", "Grand Marche Lome")</f>
        <v>Grand Marche Lome</v>
      </c>
      <c r="G177" t="str">
        <f>HYPERLINK("https://www.google.com/search?tbm=isch&amp;q=Togo+Fazao-Malfakassa+National+Park", "Fazao-Malfakassa National Park")</f>
        <v>Fazao-Malfakassa National Park</v>
      </c>
    </row>
    <row r="178" spans="1:7" x14ac:dyDescent="0.3">
      <c r="A178" t="s">
        <v>183</v>
      </c>
      <c r="B178" t="s">
        <v>379</v>
      </c>
      <c r="C178" t="str">
        <f>HYPERLINK("https://www.google.com/search?tbm=isch&amp;q=Tonga+Ha'amonga+'a+Maui", "Ha'amonga 'a Maui")</f>
        <v>Ha'amonga 'a Maui</v>
      </c>
      <c r="D178" t="str">
        <f>HYPERLINK("https://www.google.com/search?tbm=isch&amp;q=Tonga+Mapu'a+'a+Vaea+Blowholes", "Mapu'a 'a Vaea Blowholes")</f>
        <v>Mapu'a 'a Vaea Blowholes</v>
      </c>
      <c r="E178" t="str">
        <f>HYPERLINK("https://www.google.com/search?tbm=isch&amp;q=Tonga+Anahulu+Cave", "Anahulu Cave")</f>
        <v>Anahulu Cave</v>
      </c>
      <c r="F178" t="str">
        <f>HYPERLINK("https://www.google.com/search?tbm=isch&amp;q=Tonga+Eua+National+Park", "Eua National Park")</f>
        <v>Eua National Park</v>
      </c>
      <c r="G178" t="str">
        <f>HYPERLINK("https://www.google.com/search?tbm=isch&amp;q=Tonga+Swallows+Cave", "Swallows Cave")</f>
        <v>Swallows Cave</v>
      </c>
    </row>
    <row r="179" spans="1:7" x14ac:dyDescent="0.3">
      <c r="A179" t="s">
        <v>184</v>
      </c>
      <c r="B179" t="s">
        <v>380</v>
      </c>
      <c r="C179" t="str">
        <f>HYPERLINK("https://www.google.com/search?tbm=isch&amp;q=Trinidad+and+Tobago+Maracas+Beach", "Maracas Beach")</f>
        <v>Maracas Beach</v>
      </c>
      <c r="D179" t="str">
        <f>HYPERLINK("https://www.google.com/search?tbm=isch&amp;q=Trinidad+and+Tobago+Nylon+Pool+Tobago", "Nylon Pool Tobago")</f>
        <v>Nylon Pool Tobago</v>
      </c>
      <c r="E179" t="str">
        <f>HYPERLINK("https://www.google.com/search?tbm=isch&amp;q=Trinidad+and+Tobago+Pigeon+Point+Beach", "Pigeon Point Beach")</f>
        <v>Pigeon Point Beach</v>
      </c>
      <c r="F179" t="str">
        <f>HYPERLINK("https://www.google.com/search?tbm=isch&amp;q=Trinidad+and+Tobago+Caroni+Bird+Sanctuary", "Caroni Bird Sanctuary")</f>
        <v>Caroni Bird Sanctuary</v>
      </c>
      <c r="G179" t="str">
        <f>HYPERLINK("https://www.google.com/search?tbm=isch&amp;q=Trinidad+and+Tobago+Asa+Wright+Nature+Centre", "Asa Wright Nature Centre")</f>
        <v>Asa Wright Nature Centre</v>
      </c>
    </row>
    <row r="180" spans="1:7" x14ac:dyDescent="0.3">
      <c r="A180" t="s">
        <v>185</v>
      </c>
      <c r="B180" t="s">
        <v>381</v>
      </c>
      <c r="C180" t="str">
        <f>HYPERLINK("https://www.google.com/search?tbm=isch&amp;q=Tunisia+Amphitheatre+of+El+Jem", "Amphitheatre of El Jem")</f>
        <v>Amphitheatre of El Jem</v>
      </c>
      <c r="D180" t="str">
        <f>HYPERLINK("https://www.google.com/search?tbm=isch&amp;q=Tunisia+Ancient+City+of+Carthage", "Ancient City of Carthage")</f>
        <v>Ancient City of Carthage</v>
      </c>
      <c r="E180" t="str">
        <f>HYPERLINK("https://www.google.com/search?tbm=isch&amp;q=Tunisia+Sidi+Bou+Said", "Sidi Bou Said")</f>
        <v>Sidi Bou Said</v>
      </c>
      <c r="F180" t="str">
        <f>HYPERLINK("https://www.google.com/search?tbm=isch&amp;q=Tunisia+Medina+of+Tunis", "Medina of Tunis")</f>
        <v>Medina of Tunis</v>
      </c>
      <c r="G180" t="str">
        <f>HYPERLINK("https://www.google.com/search?tbm=isch&amp;q=Tunisia+Djerba+Island", "Djerba Island")</f>
        <v>Djerba Island</v>
      </c>
    </row>
    <row r="181" spans="1:7" x14ac:dyDescent="0.3">
      <c r="A181" t="s">
        <v>186</v>
      </c>
      <c r="B181" t="s">
        <v>382</v>
      </c>
      <c r="C181" t="str">
        <f>HYPERLINK("https://www.google.com/search?tbm=isch&amp;q=Turkey+Hagia+Sophia", "Hagia Sophia")</f>
        <v>Hagia Sophia</v>
      </c>
      <c r="D181" t="str">
        <f>HYPERLINK("https://www.google.com/search?tbm=isch&amp;q=Turkey+Cappadocia+Fairy+Chimneys", "Cappadocia Fairy Chimneys")</f>
        <v>Cappadocia Fairy Chimneys</v>
      </c>
      <c r="E181" t="str">
        <f>HYPERLINK("https://www.google.com/search?tbm=isch&amp;q=Turkey+Pamukkale+Thermal+Pools", "Pamukkale Thermal Pools")</f>
        <v>Pamukkale Thermal Pools</v>
      </c>
      <c r="F181" t="str">
        <f>HYPERLINK("https://www.google.com/search?tbm=isch&amp;q=Turkey+Ephesus+Ancient+City", "Ephesus Ancient City")</f>
        <v>Ephesus Ancient City</v>
      </c>
      <c r="G181" t="str">
        <f>HYPERLINK("https://www.google.com/search?tbm=isch&amp;q=Turkey+Topkapi+Palace", "Topkapi Palace")</f>
        <v>Topkapi Palace</v>
      </c>
    </row>
    <row r="182" spans="1:7" x14ac:dyDescent="0.3">
      <c r="A182" t="s">
        <v>187</v>
      </c>
      <c r="B182" t="s">
        <v>383</v>
      </c>
      <c r="C182" t="str">
        <f>HYPERLINK("https://www.google.com/search?tbm=isch&amp;q=Turkmenistan+Darvaza+Gas+Crater+(Door+to+Hell)", "Darvaza Gas Crater (Door to Hell)")</f>
        <v>Darvaza Gas Crater (Door to Hell)</v>
      </c>
      <c r="D182" t="str">
        <f>HYPERLINK("https://www.google.com/search?tbm=isch&amp;q=Turkmenistan+Merv+Ancient+City", "Merv Ancient City")</f>
        <v>Merv Ancient City</v>
      </c>
      <c r="E182" t="str">
        <f>HYPERLINK("https://www.google.com/search?tbm=isch&amp;q=Turkmenistan+Nisa+Parthian+Fortress", "Nisa Parthian Fortress")</f>
        <v>Nisa Parthian Fortress</v>
      </c>
      <c r="F182" t="str">
        <f>HYPERLINK("https://www.google.com/search?tbm=isch&amp;q=Turkmenistan+Ashgabat+White+Marble+Buildings", "Ashgabat White Marble Buildings")</f>
        <v>Ashgabat White Marble Buildings</v>
      </c>
      <c r="G182" t="str">
        <f>HYPERLINK("https://www.google.com/search?tbm=isch&amp;q=Turkmenistan+Yangykala+Canyon", "Yangykala Canyon")</f>
        <v>Yangykala Canyon</v>
      </c>
    </row>
    <row r="183" spans="1:7" x14ac:dyDescent="0.3">
      <c r="A183" t="s">
        <v>188</v>
      </c>
      <c r="B183" t="s">
        <v>384</v>
      </c>
      <c r="C183" t="str">
        <f>HYPERLINK("https://www.google.com/search?tbm=isch&amp;q=Tuvalu+Funafuti+Conservation+Area", "Funafuti Conservation Area")</f>
        <v>Funafuti Conservation Area</v>
      </c>
      <c r="D183" t="str">
        <f>HYPERLINK("https://www.google.com/search?tbm=isch&amp;q=Tuvalu+Funafuti+Lagoon", "Funafuti Lagoon")</f>
        <v>Funafuti Lagoon</v>
      </c>
      <c r="E183" t="str">
        <f>HYPERLINK("https://www.google.com/search?tbm=isch&amp;q=Tuvalu+Nanumea+Atoll", "Nanumea Atoll")</f>
        <v>Nanumea Atoll</v>
      </c>
      <c r="F183" t="str">
        <f>HYPERLINK("https://www.google.com/search?tbm=isch&amp;q=Tuvalu+Tuvalu+Philatelic+Bureau", "Tuvalu Philatelic Bureau")</f>
        <v>Tuvalu Philatelic Bureau</v>
      </c>
      <c r="G183" t="str">
        <f>HYPERLINK("https://www.google.com/search?tbm=isch&amp;q=Tuvalu+Funafuti+Marine+Life", "Funafuti Marine Life")</f>
        <v>Funafuti Marine Life</v>
      </c>
    </row>
    <row r="184" spans="1:7" x14ac:dyDescent="0.3">
      <c r="A184" t="s">
        <v>189</v>
      </c>
      <c r="B184" t="s">
        <v>385</v>
      </c>
      <c r="C184" t="str">
        <f>HYPERLINK("https://www.google.com/search?tbm=isch&amp;q=Uganda+Bwindi+Impenetrable+National+Park", "Bwindi Impenetrable National Park")</f>
        <v>Bwindi Impenetrable National Park</v>
      </c>
      <c r="D184" t="str">
        <f>HYPERLINK("https://www.google.com/search?tbm=isch&amp;q=Uganda+Murchison+Falls", "Murchison Falls")</f>
        <v>Murchison Falls</v>
      </c>
      <c r="E184" t="str">
        <f>HYPERLINK("https://www.google.com/search?tbm=isch&amp;q=Uganda+Queen+Elizabeth+National+Park", "Queen Elizabeth National Park")</f>
        <v>Queen Elizabeth National Park</v>
      </c>
      <c r="F184" t="str">
        <f>HYPERLINK("https://www.google.com/search?tbm=isch&amp;q=Uganda+Source+of+the+Nile+Jinja", "Source of the Nile Jinja")</f>
        <v>Source of the Nile Jinja</v>
      </c>
      <c r="G184" t="str">
        <f>HYPERLINK("https://www.google.com/search?tbm=isch&amp;q=Uganda+Rwenzori+Mountains", "Rwenzori Mountains")</f>
        <v>Rwenzori Mountains</v>
      </c>
    </row>
    <row r="185" spans="1:7" x14ac:dyDescent="0.3">
      <c r="A185" t="s">
        <v>190</v>
      </c>
      <c r="B185" t="s">
        <v>386</v>
      </c>
      <c r="C185" t="str">
        <f>HYPERLINK("https://www.google.com/search?tbm=isch&amp;q=Ukraine+Saint+Sophia+Cathedral+Kyiv", "Saint Sophia Cathedral Kyiv")</f>
        <v>Saint Sophia Cathedral Kyiv</v>
      </c>
      <c r="D185" t="str">
        <f>HYPERLINK("https://www.google.com/search?tbm=isch&amp;q=Ukraine+Kyiv+Pechersk+Lavra", "Kyiv Pechersk Lavra")</f>
        <v>Kyiv Pechersk Lavra</v>
      </c>
      <c r="E185" t="str">
        <f>HYPERLINK("https://www.google.com/search?tbm=isch&amp;q=Ukraine+Lviv+Historic+Centre", "Lviv Historic Centre")</f>
        <v>Lviv Historic Centre</v>
      </c>
      <c r="F185" t="str">
        <f>HYPERLINK("https://www.google.com/search?tbm=isch&amp;q=Ukraine+Chernivtsi+University+Palace", "Chernivtsi University Palace")</f>
        <v>Chernivtsi University Palace</v>
      </c>
      <c r="G185" t="str">
        <f>HYPERLINK("https://www.google.com/search?tbm=isch&amp;q=Ukraine+Kamianets-Podilskyi+Castle", "Kamianets-Podilskyi Castle")</f>
        <v>Kamianets-Podilskyi Castle</v>
      </c>
    </row>
    <row r="186" spans="1:7" x14ac:dyDescent="0.3">
      <c r="A186" t="s">
        <v>191</v>
      </c>
      <c r="B186" t="s">
        <v>387</v>
      </c>
      <c r="C186" t="str">
        <f>HYPERLINK("https://www.google.com/search?tbm=isch&amp;q=United+Arab+Emirates+Burj+Khalifa", "Burj Khalifa")</f>
        <v>Burj Khalifa</v>
      </c>
      <c r="D186" t="str">
        <f>HYPERLINK("https://www.google.com/search?tbm=isch&amp;q=United+Arab+Emirates+Sheikh+Zayed+Grand+Mosque", "Sheikh Zayed Grand Mosque")</f>
        <v>Sheikh Zayed Grand Mosque</v>
      </c>
      <c r="E186" t="str">
        <f>HYPERLINK("https://www.google.com/search?tbm=isch&amp;q=United+Arab+Emirates+Louvre+Abu+Dhabi", "Louvre Abu Dhabi")</f>
        <v>Louvre Abu Dhabi</v>
      </c>
      <c r="F186" t="str">
        <f>HYPERLINK("https://www.google.com/search?tbm=isch&amp;q=United+Arab+Emirates+Palm+Jumeirah", "Palm Jumeirah")</f>
        <v>Palm Jumeirah</v>
      </c>
      <c r="G186" t="str">
        <f>HYPERLINK("https://www.google.com/search?tbm=isch&amp;q=United+Arab+Emirates+Dubai+Mall", "Dubai Mall")</f>
        <v>Dubai Mall</v>
      </c>
    </row>
    <row r="187" spans="1:7" x14ac:dyDescent="0.3">
      <c r="A187" t="s">
        <v>192</v>
      </c>
      <c r="B187" t="s">
        <v>388</v>
      </c>
      <c r="C187" t="str">
        <f>HYPERLINK("https://www.google.com/search?tbm=isch&amp;q=United+Kingdom+Tower+of+London", "Tower of London")</f>
        <v>Tower of London</v>
      </c>
      <c r="D187" t="str">
        <f>HYPERLINK("https://www.google.com/search?tbm=isch&amp;q=United+Kingdom+Stonehenge", "Stonehenge")</f>
        <v>Stonehenge</v>
      </c>
      <c r="E187" t="str">
        <f>HYPERLINK("https://www.google.com/search?tbm=isch&amp;q=United+Kingdom+British+Museum", "British Museum")</f>
        <v>British Museum</v>
      </c>
      <c r="F187" t="str">
        <f>HYPERLINK("https://www.google.com/search?tbm=isch&amp;q=United+Kingdom+Edinburgh+Castle", "Edinburgh Castle")</f>
        <v>Edinburgh Castle</v>
      </c>
      <c r="G187" t="str">
        <f>HYPERLINK("https://www.google.com/search?tbm=isch&amp;q=United+Kingdom+Giant's+Causeway", "Giant's Causeway")</f>
        <v>Giant's Causeway</v>
      </c>
    </row>
    <row r="188" spans="1:7" x14ac:dyDescent="0.3">
      <c r="A188" t="s">
        <v>193</v>
      </c>
      <c r="B188" t="s">
        <v>389</v>
      </c>
      <c r="C188" t="str">
        <f>HYPERLINK("https://www.google.com/search?tbm=isch&amp;q=United+States+of+America+Statue+of+Liberty", "Statue of Liberty")</f>
        <v>Statue of Liberty</v>
      </c>
      <c r="D188" t="str">
        <f>HYPERLINK("https://www.google.com/search?tbm=isch&amp;q=United+States+of+America+Grand+Canyon", "Grand Canyon")</f>
        <v>Grand Canyon</v>
      </c>
      <c r="E188" t="str">
        <f>HYPERLINK("https://www.google.com/search?tbm=isch&amp;q=United+States+of+America+Golden+Gate+Bridge", "Golden Gate Bridge")</f>
        <v>Golden Gate Bridge</v>
      </c>
      <c r="F188" t="str">
        <f>HYPERLINK("https://www.google.com/search?tbm=isch&amp;q=United+States+of+America+Yellowstone+National+Park", "Yellowstone National Park")</f>
        <v>Yellowstone National Park</v>
      </c>
      <c r="G188" t="str">
        <f>HYPERLINK("https://www.google.com/search?tbm=isch&amp;q=United+States+of+America+Times+Square+&amp;+Central+Park", "Times Square &amp; Central Park")</f>
        <v>Times Square &amp; Central Park</v>
      </c>
    </row>
    <row r="189" spans="1:7" x14ac:dyDescent="0.3">
      <c r="A189" t="s">
        <v>194</v>
      </c>
      <c r="B189" t="s">
        <v>390</v>
      </c>
      <c r="C189" t="str">
        <f>HYPERLINK("https://www.google.com/search?tbm=isch&amp;q=Uruguay+Colonia+del+Sacramento+Historic+Quarter", "Colonia del Sacramento Historic Quarter")</f>
        <v>Colonia del Sacramento Historic Quarter</v>
      </c>
      <c r="D189" t="str">
        <f>HYPERLINK("https://www.google.com/search?tbm=isch&amp;q=Uruguay+Punta+del+Este+Beaches", "Punta del Este Beaches")</f>
        <v>Punta del Este Beaches</v>
      </c>
      <c r="E189" t="str">
        <f>HYPERLINK("https://www.google.com/search?tbm=isch&amp;q=Uruguay+Casapueblo", "Casapueblo")</f>
        <v>Casapueblo</v>
      </c>
      <c r="F189" t="str">
        <f>HYPERLINK("https://www.google.com/search?tbm=isch&amp;q=Uruguay+Montevideo+Rambla", "Montevideo Rambla")</f>
        <v>Montevideo Rambla</v>
      </c>
      <c r="G189" t="str">
        <f>HYPERLINK("https://www.google.com/search?tbm=isch&amp;q=Uruguay+Cabo+Polonio", "Cabo Polonio")</f>
        <v>Cabo Polonio</v>
      </c>
    </row>
    <row r="190" spans="1:7" x14ac:dyDescent="0.3">
      <c r="A190" t="s">
        <v>195</v>
      </c>
      <c r="B190" t="s">
        <v>391</v>
      </c>
      <c r="C190" t="str">
        <f>HYPERLINK("https://www.google.com/search?tbm=isch&amp;q=Uzbekistan+Registan+Square+Samarkand", "Registan Square Samarkand")</f>
        <v>Registan Square Samarkand</v>
      </c>
      <c r="D190" t="str">
        <f>HYPERLINK("https://www.google.com/search?tbm=isch&amp;q=Uzbekistan+Itchan+Kala+Khiva", "Itchan Kala Khiva")</f>
        <v>Itchan Kala Khiva</v>
      </c>
      <c r="E190" t="str">
        <f>HYPERLINK("https://www.google.com/search?tbm=isch&amp;q=Uzbekistan+Ark+of+Bukhara", "Ark of Bukhara")</f>
        <v>Ark of Bukhara</v>
      </c>
      <c r="F190" t="str">
        <f>HYPERLINK("https://www.google.com/search?tbm=isch&amp;q=Uzbekistan+Chorsu+Bazaar+Tashkent", "Chorsu Bazaar Tashkent")</f>
        <v>Chorsu Bazaar Tashkent</v>
      </c>
      <c r="G190" t="str">
        <f>HYPERLINK("https://www.google.com/search?tbm=isch&amp;q=Uzbekistan+Shah-i-Zinda", "Shah-i-Zinda")</f>
        <v>Shah-i-Zinda</v>
      </c>
    </row>
    <row r="191" spans="1:7" x14ac:dyDescent="0.3">
      <c r="A191" t="s">
        <v>196</v>
      </c>
      <c r="B191" t="s">
        <v>392</v>
      </c>
      <c r="C191" t="str">
        <f>HYPERLINK("https://www.google.com/search?tbm=isch&amp;q=Vanuatu+Mount+Yasur+Volcano", "Mount Yasur Volcano")</f>
        <v>Mount Yasur Volcano</v>
      </c>
      <c r="D191" t="str">
        <f>HYPERLINK("https://www.google.com/search?tbm=isch&amp;q=Vanuatu+Champagne+Beach", "Champagne Beach")</f>
        <v>Champagne Beach</v>
      </c>
      <c r="E191" t="str">
        <f>HYPERLINK("https://www.google.com/search?tbm=isch&amp;q=Vanuatu+Blue+Holes+of+Espiritu+Santo", "Blue Holes of Espiritu Santo")</f>
        <v>Blue Holes of Espiritu Santo</v>
      </c>
      <c r="F191" t="str">
        <f>HYPERLINK("https://www.google.com/search?tbm=isch&amp;q=Vanuatu+Millennium+Cave", "Millennium Cave")</f>
        <v>Millennium Cave</v>
      </c>
      <c r="G191" t="str">
        <f>HYPERLINK("https://www.google.com/search?tbm=isch&amp;q=Vanuatu+Pentecost+Island+Land+Diving", "Pentecost Island Land Diving")</f>
        <v>Pentecost Island Land Diving</v>
      </c>
    </row>
    <row r="192" spans="1:7" x14ac:dyDescent="0.3">
      <c r="A192" t="s">
        <v>197</v>
      </c>
      <c r="B192" t="s">
        <v>393</v>
      </c>
      <c r="C192" t="str">
        <f>HYPERLINK("https://www.google.com/search?tbm=isch&amp;q=Vatican+City+St.+Peter's+Basilica", "St. Peter's Basilica")</f>
        <v>St. Peter's Basilica</v>
      </c>
      <c r="D192" t="str">
        <f>HYPERLINK("https://www.google.com/search?tbm=isch&amp;q=Vatican+City+Sistine+Chapel", "Sistine Chapel")</f>
        <v>Sistine Chapel</v>
      </c>
      <c r="E192" t="str">
        <f>HYPERLINK("https://www.google.com/search?tbm=isch&amp;q=Vatican+City+Vatican+Museums", "Vatican Museums")</f>
        <v>Vatican Museums</v>
      </c>
      <c r="F192" t="str">
        <f>HYPERLINK("https://www.google.com/search?tbm=isch&amp;q=Vatican+City+St.+Peter's+Square", "St. Peter's Square")</f>
        <v>St. Peter's Square</v>
      </c>
      <c r="G192" t="str">
        <f>HYPERLINK("https://www.google.com/search?tbm=isch&amp;q=Vatican+City+Vatican+Gardens", "Vatican Gardens")</f>
        <v>Vatican Gardens</v>
      </c>
    </row>
    <row r="193" spans="1:7" x14ac:dyDescent="0.3">
      <c r="A193" t="s">
        <v>198</v>
      </c>
      <c r="B193" t="s">
        <v>394</v>
      </c>
      <c r="C193" t="str">
        <f>HYPERLINK("https://www.google.com/search?tbm=isch&amp;q=Venezuela+Angel+Falls", "Angel Falls")</f>
        <v>Angel Falls</v>
      </c>
      <c r="D193" t="str">
        <f>HYPERLINK("https://www.google.com/search?tbm=isch&amp;q=Venezuela+Los+Roques+Archipelago", "Los Roques Archipelago")</f>
        <v>Los Roques Archipelago</v>
      </c>
      <c r="E193" t="str">
        <f>HYPERLINK("https://www.google.com/search?tbm=isch&amp;q=Venezuela+Mount+Roraima", "Mount Roraima")</f>
        <v>Mount Roraima</v>
      </c>
      <c r="F193" t="str">
        <f>HYPERLINK("https://www.google.com/search?tbm=isch&amp;q=Venezuela+Morrocoy+National+Park", "Morrocoy National Park")</f>
        <v>Morrocoy National Park</v>
      </c>
      <c r="G193" t="str">
        <f>HYPERLINK("https://www.google.com/search?tbm=isch&amp;q=Venezuela+Teleferico+de+Merida", "Teleferico de Merida")</f>
        <v>Teleferico de Merida</v>
      </c>
    </row>
    <row r="194" spans="1:7" x14ac:dyDescent="0.3">
      <c r="A194" t="s">
        <v>199</v>
      </c>
      <c r="B194" t="s">
        <v>395</v>
      </c>
      <c r="C194" t="str">
        <f>HYPERLINK("https://www.google.com/search?tbm=isch&amp;q=Vietnam+Ha+Long+Bay", "Ha Long Bay")</f>
        <v>Ha Long Bay</v>
      </c>
      <c r="D194" t="str">
        <f>HYPERLINK("https://www.google.com/search?tbm=isch&amp;q=Vietnam+Hoi+An+Ancient+Town", "Hoi An Ancient Town")</f>
        <v>Hoi An Ancient Town</v>
      </c>
      <c r="E194" t="str">
        <f>HYPERLINK("https://www.google.com/search?tbm=isch&amp;q=Vietnam+Cu+Chi+Tunnels", "Cu Chi Tunnels")</f>
        <v>Cu Chi Tunnels</v>
      </c>
      <c r="F194" t="str">
        <f>HYPERLINK("https://www.google.com/search?tbm=isch&amp;q=Vietnam+Phong+Nha-Ke+Bang+Caves", "Phong Nha-Ke Bang Caves")</f>
        <v>Phong Nha-Ke Bang Caves</v>
      </c>
      <c r="G194" t="str">
        <f>HYPERLINK("https://www.google.com/search?tbm=isch&amp;q=Vietnam+Imperial+City+of+Hue", "Imperial City of Hue")</f>
        <v>Imperial City of Hue</v>
      </c>
    </row>
    <row r="195" spans="1:7" x14ac:dyDescent="0.3">
      <c r="A195" t="s">
        <v>200</v>
      </c>
      <c r="B195" t="s">
        <v>396</v>
      </c>
      <c r="C195" t="str">
        <f>HYPERLINK("https://www.google.com/search?tbm=isch&amp;q=Yemen+Socotra+Island+Dragon+Blood+Trees", "Socotra Island Dragon Blood Trees")</f>
        <v>Socotra Island Dragon Blood Trees</v>
      </c>
      <c r="D195" t="str">
        <f>HYPERLINK("https://www.google.com/search?tbm=isch&amp;q=Yemen+Old+City+of+Sana'a", "Old City of Sana'a")</f>
        <v>Old City of Sana'a</v>
      </c>
      <c r="E195" t="str">
        <f>HYPERLINK("https://www.google.com/search?tbm=isch&amp;q=Yemen+Shibam+Mud+Brick+Skyscrapers", "Shibam Mud Brick Skyscrapers")</f>
        <v>Shibam Mud Brick Skyscrapers</v>
      </c>
      <c r="F195" t="str">
        <f>HYPERLINK("https://www.google.com/search?tbm=isch&amp;q=Yemen+Shaharah+Bridge", "Shaharah Bridge")</f>
        <v>Shaharah Bridge</v>
      </c>
      <c r="G195" t="str">
        <f>HYPERLINK("https://www.google.com/search?tbm=isch&amp;q=Yemen+Dar+al-Hajar", "Dar al-Hajar")</f>
        <v>Dar al-Hajar</v>
      </c>
    </row>
    <row r="196" spans="1:7" x14ac:dyDescent="0.3">
      <c r="A196" t="s">
        <v>201</v>
      </c>
      <c r="B196" t="s">
        <v>397</v>
      </c>
      <c r="C196" t="str">
        <f>HYPERLINK("https://www.google.com/search?tbm=isch&amp;q=Zambia+Victoria+Falls+Zambia", "Victoria Falls Zambia")</f>
        <v>Victoria Falls Zambia</v>
      </c>
      <c r="D196" t="str">
        <f>HYPERLINK("https://www.google.com/search?tbm=isch&amp;q=Zambia+South+Luangwa+National+Park", "South Luangwa National Park")</f>
        <v>South Luangwa National Park</v>
      </c>
      <c r="E196" t="str">
        <f>HYPERLINK("https://www.google.com/search?tbm=isch&amp;q=Zambia+Lower+Zambezi+National+Park", "Lower Zambezi National Park")</f>
        <v>Lower Zambezi National Park</v>
      </c>
      <c r="F196" t="str">
        <f>HYPERLINK("https://www.google.com/search?tbm=isch&amp;q=Zambia+Devil's+Pool+Victoria+Falls", "Devil's Pool Victoria Falls")</f>
        <v>Devil's Pool Victoria Falls</v>
      </c>
      <c r="G196" t="str">
        <f>HYPERLINK("https://www.google.com/search?tbm=isch&amp;q=Zambia+Lake+Kariba", "Lake Kariba")</f>
        <v>Lake Kariba</v>
      </c>
    </row>
    <row r="197" spans="1:7" x14ac:dyDescent="0.3">
      <c r="A197" t="s">
        <v>202</v>
      </c>
      <c r="B197" t="s">
        <v>398</v>
      </c>
      <c r="C197" t="str">
        <f>HYPERLINK("https://www.google.com/search?tbm=isch&amp;q=Zimbabwe+Victoria+Falls+Zimbabwe", "Victoria Falls Zimbabwe")</f>
        <v>Victoria Falls Zimbabwe</v>
      </c>
      <c r="D197" t="str">
        <f>HYPERLINK("https://www.google.com/search?tbm=isch&amp;q=Zimbabwe+Great+Zimbabwe+Ruins", "Great Zimbabwe Ruins")</f>
        <v>Great Zimbabwe Ruins</v>
      </c>
      <c r="E197" t="str">
        <f>HYPERLINK("https://www.google.com/search?tbm=isch&amp;q=Zimbabwe+Hwange+National+Park", "Hwange National Park")</f>
        <v>Hwange National Park</v>
      </c>
      <c r="F197" t="str">
        <f>HYPERLINK("https://www.google.com/search?tbm=isch&amp;q=Zimbabwe+Matobo+National+Park", "Matobo National Park")</f>
        <v>Matobo National Park</v>
      </c>
      <c r="G197" t="str">
        <f>HYPERLINK("https://www.google.com/search?tbm=isch&amp;q=Zimbabwe+Mana+Pools+National+Park", "Mana Pools National Park")</f>
        <v>Mana Pools National Park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UC</cp:lastModifiedBy>
  <dcterms:created xsi:type="dcterms:W3CDTF">2026-09-04T19:46:18Z</dcterms:created>
  <dcterms:modified xsi:type="dcterms:W3CDTF">2026-09-04T19:47:37Z</dcterms:modified>
</cp:coreProperties>
</file>